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2EDE04F5-66C7-4008-A137-1971E025CC3A}" xr6:coauthVersionLast="47" xr6:coauthVersionMax="47" xr10:uidLastSave="{00000000-0000-0000-0000-000000000000}"/>
  <bookViews>
    <workbookView xWindow="-120" yWindow="-120" windowWidth="20730" windowHeight="11040" activeTab="4" xr2:uid="{EA317AA3-2D63-44B6-8E38-A2363A77CEAF}"/>
  </bookViews>
  <sheets>
    <sheet name="Regionwise Revenue" sheetId="4" r:id="rId1"/>
    <sheet name="Item type profit" sheetId="5" r:id="rId2"/>
    <sheet name="Cost vs Profit" sheetId="6" r:id="rId3"/>
    <sheet name="AmazonSalesData" sheetId="2" r:id="rId4"/>
    <sheet name="Dashboard" sheetId="1" r:id="rId5"/>
  </sheets>
  <definedNames>
    <definedName name="_xlcn.WorksheetConnection_Dashboard.xlsxAmazonSalesData1" hidden="1">AmazonSalesData[]</definedName>
    <definedName name="ExternalData_1" localSheetId="3" hidden="1">AmazonSalesData!$A$1:$N$101</definedName>
    <definedName name="Slicer_Item_Type1">#N/A</definedName>
    <definedName name="Slicer_Region">#N/A</definedName>
    <definedName name="Slicer_Year">#N/A</definedName>
  </definedNames>
  <calcPr calcId="191029" iterateDelta="1E-4"/>
  <pivotCaches>
    <pivotCache cacheId="275" r:id="rId6"/>
    <pivotCache cacheId="278" r:id="rId7"/>
    <pivotCache cacheId="281" r:id="rId8"/>
  </pivotCaches>
  <extLst>
    <ext xmlns:x14="http://schemas.microsoft.com/office/spreadsheetml/2009/9/main" uri="{876F7934-8845-4945-9796-88D515C7AA90}">
      <x14:pivotCaches>
        <pivotCache cacheId="12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SalesData" name="AmazonSalesData" connection="WorksheetConnection_Dashboard.xlsx!Amazon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4" i="2" l="1"/>
  <c r="O6" i="2"/>
  <c r="O7" i="2"/>
  <c r="O13" i="2"/>
  <c r="O15" i="2"/>
  <c r="O19" i="2"/>
  <c r="O25" i="2"/>
  <c r="O26" i="2"/>
  <c r="O29" i="2"/>
  <c r="O37" i="2"/>
  <c r="O40" i="2"/>
  <c r="O42" i="2"/>
  <c r="O43" i="2"/>
  <c r="O44" i="2"/>
  <c r="O45" i="2"/>
  <c r="O51" i="2"/>
  <c r="O52" i="2"/>
  <c r="O57" i="2"/>
  <c r="O60" i="2"/>
  <c r="O61" i="2"/>
  <c r="O62" i="2"/>
  <c r="O64" i="2"/>
  <c r="O67" i="2"/>
  <c r="O68" i="2"/>
  <c r="O76" i="2"/>
  <c r="O77" i="2"/>
  <c r="O85" i="2"/>
  <c r="O89" i="2"/>
  <c r="O92" i="2"/>
  <c r="O93" i="2"/>
  <c r="O96" i="2"/>
  <c r="O98" i="2"/>
  <c r="O99" i="2"/>
  <c r="O101" i="2"/>
  <c r="N102" i="2"/>
  <c r="M102" i="2"/>
  <c r="L102" i="2"/>
  <c r="I1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DFF868-A3F8-468A-8283-8D43C80688F0}" keepAlive="1" name="Query - AmazonSalesData" description="Connection to the 'AmazonSalesData' query in the workbook." type="5" refreshedVersion="8" background="1" saveData="1">
    <dbPr connection="Provider=Microsoft.Mashup.OleDb.1;Data Source=$Workbook$;Location=AmazonSalesData;Extended Properties=&quot;&quot;" command="SELECT * FROM [AmazonSalesData]"/>
  </connection>
  <connection id="2" xr16:uid="{B71813F4-B166-4F28-9250-11526B9B6D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4FC10A9-80F8-4B36-9A37-BCDA8D4C67EE}" name="WorksheetConnection_Dashboard.xlsx!AmazonSalesData" type="102" refreshedVersion="8" minRefreshableVersion="5">
    <extLst>
      <ext xmlns:x15="http://schemas.microsoft.com/office/spreadsheetml/2010/11/main" uri="{DE250136-89BD-433C-8126-D09CA5730AF9}">
        <x15:connection id="AmazonSalesData" autoDelete="1">
          <x15:rangePr sourceName="_xlcn.WorksheetConnection_Dashboard.xlsxAmazonSalesData1"/>
        </x15:connection>
      </ext>
    </extLst>
  </connection>
</connections>
</file>

<file path=xl/sharedStrings.xml><?xml version="1.0" encoding="utf-8"?>
<sst xmlns="http://schemas.openxmlformats.org/spreadsheetml/2006/main" count="752" uniqueCount="318">
  <si>
    <t>Region</t>
  </si>
  <si>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</si>
  <si>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</si>
  <si>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</si>
  <si>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</si>
  <si>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</si>
  <si>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</si>
  <si>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</si>
  <si>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</si>
  <si>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</si>
  <si>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</si>
  <si>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</si>
  <si>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</si>
  <si>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</si>
  <si>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</si>
  <si>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</si>
  <si>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</si>
  <si>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</si>
  <si>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</si>
  <si>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5/28/2010</t>
  </si>
  <si>
    <t>6/27/2010</t>
  </si>
  <si>
    <t>Central America and the Caribbean</t>
  </si>
  <si>
    <t>Grenada</t>
  </si>
  <si>
    <t>Cereal</t>
  </si>
  <si>
    <t>Online</t>
  </si>
  <si>
    <t>C</t>
  </si>
  <si>
    <t>8/22/2012</t>
  </si>
  <si>
    <t>9/15/2012</t>
  </si>
  <si>
    <t>Europe</t>
  </si>
  <si>
    <t>Russia</t>
  </si>
  <si>
    <t>Office Supplies</t>
  </si>
  <si>
    <t>L</t>
  </si>
  <si>
    <t>5/2/2014</t>
  </si>
  <si>
    <t>5/8/2014</t>
  </si>
  <si>
    <t>Sub-Saharan Africa</t>
  </si>
  <si>
    <t>Sao Tome and Principe</t>
  </si>
  <si>
    <t>Fruits</t>
  </si>
  <si>
    <t>6/20/2014</t>
  </si>
  <si>
    <t>7/5/2014</t>
  </si>
  <si>
    <t>Rwanda</t>
  </si>
  <si>
    <t>2/1/2013</t>
  </si>
  <si>
    <t>2/6/2013</t>
  </si>
  <si>
    <t>Solomon Islands</t>
  </si>
  <si>
    <t>2/4/2015</t>
  </si>
  <si>
    <t>2/21/2015</t>
  </si>
  <si>
    <t>Angola</t>
  </si>
  <si>
    <t>Household</t>
  </si>
  <si>
    <t>M</t>
  </si>
  <si>
    <t>4/23/2011</t>
  </si>
  <si>
    <t>4/27/2011</t>
  </si>
  <si>
    <t>Burkina Faso</t>
  </si>
  <si>
    <t>Vegetables</t>
  </si>
  <si>
    <t>7/17/2012</t>
  </si>
  <si>
    <t>7/27/2012</t>
  </si>
  <si>
    <t>Republic of the Congo</t>
  </si>
  <si>
    <t>Personal Care</t>
  </si>
  <si>
    <t>7/14/2015</t>
  </si>
  <si>
    <t>8/25/2015</t>
  </si>
  <si>
    <t>Senegal</t>
  </si>
  <si>
    <t>4/18/2014</t>
  </si>
  <si>
    <t>5/30/2014</t>
  </si>
  <si>
    <t>Asia</t>
  </si>
  <si>
    <t>Kyrgyzstan</t>
  </si>
  <si>
    <t>6/24/2011</t>
  </si>
  <si>
    <t>7/12/2011</t>
  </si>
  <si>
    <t>Cape Verde</t>
  </si>
  <si>
    <t>Clothes</t>
  </si>
  <si>
    <t>8/2/2014</t>
  </si>
  <si>
    <t>8/19/2014</t>
  </si>
  <si>
    <t>Bangladesh</t>
  </si>
  <si>
    <t>1/13/2017</t>
  </si>
  <si>
    <t>3/1/2017</t>
  </si>
  <si>
    <t>Honduras</t>
  </si>
  <si>
    <t>2/8/2017</t>
  </si>
  <si>
    <t>2/13/2017</t>
  </si>
  <si>
    <t>Mongolia</t>
  </si>
  <si>
    <t>2/19/2014</t>
  </si>
  <si>
    <t>2/23/2014</t>
  </si>
  <si>
    <t>Bulgaria</t>
  </si>
  <si>
    <t>4/23/2012</t>
  </si>
  <si>
    <t>6/3/2012</t>
  </si>
  <si>
    <t>Sri Lanka</t>
  </si>
  <si>
    <t>Cosmetics</t>
  </si>
  <si>
    <t>11/19/2016</t>
  </si>
  <si>
    <t>12/18/2016</t>
  </si>
  <si>
    <t>Cameroon</t>
  </si>
  <si>
    <t>Beverages</t>
  </si>
  <si>
    <t>4/1/2015</t>
  </si>
  <si>
    <t>4/18/2015</t>
  </si>
  <si>
    <t>Turkmenistan</t>
  </si>
  <si>
    <t>12/30/2010</t>
  </si>
  <si>
    <t>1/20/2011</t>
  </si>
  <si>
    <t>East Timor</t>
  </si>
  <si>
    <t>Meat</t>
  </si>
  <si>
    <t>7/31/2012</t>
  </si>
  <si>
    <t>9/11/2012</t>
  </si>
  <si>
    <t>Norway</t>
  </si>
  <si>
    <t>5/14/2014</t>
  </si>
  <si>
    <t>6/28/2014</t>
  </si>
  <si>
    <t>Portugal</t>
  </si>
  <si>
    <t>7/31/2015</t>
  </si>
  <si>
    <t>9/3/2015</t>
  </si>
  <si>
    <t>Snacks</t>
  </si>
  <si>
    <t>6/30/2016</t>
  </si>
  <si>
    <t>7/26/2016</t>
  </si>
  <si>
    <t>New Zealand</t>
  </si>
  <si>
    <t>9/8/2014</t>
  </si>
  <si>
    <t>10/4/2014</t>
  </si>
  <si>
    <t xml:space="preserve">Moldova </t>
  </si>
  <si>
    <t>5/7/2016</t>
  </si>
  <si>
    <t>5/10/2016</t>
  </si>
  <si>
    <t>France</t>
  </si>
  <si>
    <t>5/22/2017</t>
  </si>
  <si>
    <t>6/5/2017</t>
  </si>
  <si>
    <t>Kiribati</t>
  </si>
  <si>
    <t>10/13/2014</t>
  </si>
  <si>
    <t>11/10/2014</t>
  </si>
  <si>
    <t>Mali</t>
  </si>
  <si>
    <t>5/7/2010</t>
  </si>
  <si>
    <t>5/10/2010</t>
  </si>
  <si>
    <t>7/18/2014</t>
  </si>
  <si>
    <t>7/30/2014</t>
  </si>
  <si>
    <t>The Gambia</t>
  </si>
  <si>
    <t>5/26/2012</t>
  </si>
  <si>
    <t>6/9/2012</t>
  </si>
  <si>
    <t>Switzerland</t>
  </si>
  <si>
    <t>9/17/2012</t>
  </si>
  <si>
    <t>10/20/2012</t>
  </si>
  <si>
    <t>South Sudan</t>
  </si>
  <si>
    <t>12/29/2013</t>
  </si>
  <si>
    <t>1/28/2014</t>
  </si>
  <si>
    <t>Australia</t>
  </si>
  <si>
    <t>10/27/2015</t>
  </si>
  <si>
    <t>11/25/2015</t>
  </si>
  <si>
    <t>Myanmar</t>
  </si>
  <si>
    <t>1/16/2015</t>
  </si>
  <si>
    <t>3/1/2015</t>
  </si>
  <si>
    <t>Djibouti</t>
  </si>
  <si>
    <t>2/25/2017</t>
  </si>
  <si>
    <t>Costa Rica</t>
  </si>
  <si>
    <t>5/8/2017</t>
  </si>
  <si>
    <t>5/21/2017</t>
  </si>
  <si>
    <t>Middle East and North Africa</t>
  </si>
  <si>
    <t>Syria</t>
  </si>
  <si>
    <t>11/22/2011</t>
  </si>
  <si>
    <t>12/3/2011</t>
  </si>
  <si>
    <t>1/14/2017</t>
  </si>
  <si>
    <t>1/23/2017</t>
  </si>
  <si>
    <t>Brunei</t>
  </si>
  <si>
    <t>4/1/2012</t>
  </si>
  <si>
    <t>5/8/2012</t>
  </si>
  <si>
    <t>2/16/2012</t>
  </si>
  <si>
    <t>2/28/2012</t>
  </si>
  <si>
    <t>Niger</t>
  </si>
  <si>
    <t>3/11/2017</t>
  </si>
  <si>
    <t>3/28/2017</t>
  </si>
  <si>
    <t>Azerbaijan</t>
  </si>
  <si>
    <t>2/6/2010</t>
  </si>
  <si>
    <t>2/25/2010</t>
  </si>
  <si>
    <t>6/7/2012</t>
  </si>
  <si>
    <t>6/8/2012</t>
  </si>
  <si>
    <t>Slovakia</t>
  </si>
  <si>
    <t>10/6/2012</t>
  </si>
  <si>
    <t>11/10/2012</t>
  </si>
  <si>
    <t>11/14/2015</t>
  </si>
  <si>
    <t>11/18/2015</t>
  </si>
  <si>
    <t>Comoros</t>
  </si>
  <si>
    <t>3/29/2016</t>
  </si>
  <si>
    <t>4/29/2016</t>
  </si>
  <si>
    <t>Iceland</t>
  </si>
  <si>
    <t>12/31/2016</t>
  </si>
  <si>
    <t>12/23/2010</t>
  </si>
  <si>
    <t>1/31/2011</t>
  </si>
  <si>
    <t>Macedonia</t>
  </si>
  <si>
    <t>10/14/2014</t>
  </si>
  <si>
    <t>11/14/2014</t>
  </si>
  <si>
    <t>Mauritania</t>
  </si>
  <si>
    <t>1/11/2012</t>
  </si>
  <si>
    <t>1/13/2012</t>
  </si>
  <si>
    <t>Albania</t>
  </si>
  <si>
    <t>2/2/2010</t>
  </si>
  <si>
    <t>3/18/2010</t>
  </si>
  <si>
    <t>Lesotho</t>
  </si>
  <si>
    <t>8/18/2013</t>
  </si>
  <si>
    <t>9/18/2013</t>
  </si>
  <si>
    <t>Saudi Arabia</t>
  </si>
  <si>
    <t>3/25/2013</t>
  </si>
  <si>
    <t>3/28/2013</t>
  </si>
  <si>
    <t>Sierra Leone</t>
  </si>
  <si>
    <t>11/26/2011</t>
  </si>
  <si>
    <t>1/7/2012</t>
  </si>
  <si>
    <t>9/17/2013</t>
  </si>
  <si>
    <t>10/24/2013</t>
  </si>
  <si>
    <t>Cote d'Ivoire</t>
  </si>
  <si>
    <t>6/27/2012</t>
  </si>
  <si>
    <t>Fiji</t>
  </si>
  <si>
    <t>6/30/2010</t>
  </si>
  <si>
    <t>8/1/2010</t>
  </si>
  <si>
    <t>Austria</t>
  </si>
  <si>
    <t>2/23/2015</t>
  </si>
  <si>
    <t>3/2/2015</t>
  </si>
  <si>
    <t>United Kingdom</t>
  </si>
  <si>
    <t>1/5/2012</t>
  </si>
  <si>
    <t>2/14/2012</t>
  </si>
  <si>
    <t>4/7/2014</t>
  </si>
  <si>
    <t>4/19/2014</t>
  </si>
  <si>
    <t>6/9/2013</t>
  </si>
  <si>
    <t>7/2/2013</t>
  </si>
  <si>
    <t>San Marino</t>
  </si>
  <si>
    <t>6/26/2013</t>
  </si>
  <si>
    <t>7/1/2013</t>
  </si>
  <si>
    <t>11/7/2011</t>
  </si>
  <si>
    <t>11/15/2011</t>
  </si>
  <si>
    <t>Libya</t>
  </si>
  <si>
    <t>10/30/2010</t>
  </si>
  <si>
    <t>11/17/2010</t>
  </si>
  <si>
    <t>Haiti</t>
  </si>
  <si>
    <t>10/13/2013</t>
  </si>
  <si>
    <t>11/16/2013</t>
  </si>
  <si>
    <t>10/11/2013</t>
  </si>
  <si>
    <t>11/25/2013</t>
  </si>
  <si>
    <t>Gabon</t>
  </si>
  <si>
    <t>7/8/2012</t>
  </si>
  <si>
    <t>7/9/2012</t>
  </si>
  <si>
    <t>Belize</t>
  </si>
  <si>
    <t>7/25/2016</t>
  </si>
  <si>
    <t>9/7/2016</t>
  </si>
  <si>
    <t>Lithuania</t>
  </si>
  <si>
    <t>10/24/2010</t>
  </si>
  <si>
    <t>Madagascar</t>
  </si>
  <si>
    <t>4/25/2015</t>
  </si>
  <si>
    <t>5/28/2015</t>
  </si>
  <si>
    <t>4/23/2013</t>
  </si>
  <si>
    <t>5/20/2013</t>
  </si>
  <si>
    <t>8/14/2015</t>
  </si>
  <si>
    <t>9/30/2015</t>
  </si>
  <si>
    <t>Democratic Republic of the Congo</t>
  </si>
  <si>
    <t>5/26/2011</t>
  </si>
  <si>
    <t>7/15/2011</t>
  </si>
  <si>
    <t>5/20/2017</t>
  </si>
  <si>
    <t>6/17/2017</t>
  </si>
  <si>
    <t>Pakistan</t>
  </si>
  <si>
    <t>7/5/2013</t>
  </si>
  <si>
    <t>8/16/2013</t>
  </si>
  <si>
    <t>North America</t>
  </si>
  <si>
    <t>Mexico</t>
  </si>
  <si>
    <t>11/6/2014</t>
  </si>
  <si>
    <t>12/12/2014</t>
  </si>
  <si>
    <t>Federated States of Micronesia</t>
  </si>
  <si>
    <t>10/28/2014</t>
  </si>
  <si>
    <t>11/15/2014</t>
  </si>
  <si>
    <t>Laos</t>
  </si>
  <si>
    <t>9/15/2011</t>
  </si>
  <si>
    <t>10/23/2011</t>
  </si>
  <si>
    <t>Monaco</t>
  </si>
  <si>
    <t>5/29/2012</t>
  </si>
  <si>
    <t>6/2/2012</t>
  </si>
  <si>
    <t xml:space="preserve">Samoa </t>
  </si>
  <si>
    <t>7/20/2013</t>
  </si>
  <si>
    <t>8/7/2013</t>
  </si>
  <si>
    <t>Spain</t>
  </si>
  <si>
    <t>10/21/2012</t>
  </si>
  <si>
    <t>11/30/2012</t>
  </si>
  <si>
    <t>Lebanon</t>
  </si>
  <si>
    <t>9/18/2012</t>
  </si>
  <si>
    <t>10/8/2012</t>
  </si>
  <si>
    <t>Iran</t>
  </si>
  <si>
    <t>11/15/2016</t>
  </si>
  <si>
    <t>12/8/2016</t>
  </si>
  <si>
    <t>Zambia</t>
  </si>
  <si>
    <t>1/4/2011</t>
  </si>
  <si>
    <t>1/5/2011</t>
  </si>
  <si>
    <t>Kenya</t>
  </si>
  <si>
    <t>3/18/2012</t>
  </si>
  <si>
    <t>4/7/2012</t>
  </si>
  <si>
    <t>2/17/2012</t>
  </si>
  <si>
    <t>3/20/2012</t>
  </si>
  <si>
    <t>1/16/2011</t>
  </si>
  <si>
    <t>1/21/2011</t>
  </si>
  <si>
    <t>2/3/2014</t>
  </si>
  <si>
    <t>3/20/2014</t>
  </si>
  <si>
    <t>Kuwait</t>
  </si>
  <si>
    <t>4/30/2012</t>
  </si>
  <si>
    <t>5/18/2012</t>
  </si>
  <si>
    <t>Slovenia</t>
  </si>
  <si>
    <t>10/23/2016</t>
  </si>
  <si>
    <t>11/25/2016</t>
  </si>
  <si>
    <t>12/6/2016</t>
  </si>
  <si>
    <t>12/14/2016</t>
  </si>
  <si>
    <t>7/7/2014</t>
  </si>
  <si>
    <t>7/11/2014</t>
  </si>
  <si>
    <t>6/13/2012</t>
  </si>
  <si>
    <t>7/24/2012</t>
  </si>
  <si>
    <t>Romania</t>
  </si>
  <si>
    <t>11/26/2010</t>
  </si>
  <si>
    <t>12/25/2010</t>
  </si>
  <si>
    <t>Nicaragua</t>
  </si>
  <si>
    <t>2/8/2011</t>
  </si>
  <si>
    <t>3/21/2011</t>
  </si>
  <si>
    <t>7/26/2011</t>
  </si>
  <si>
    <t>9/3/2011</t>
  </si>
  <si>
    <t>Malaysia</t>
  </si>
  <si>
    <t>11/11/2011</t>
  </si>
  <si>
    <t>12/28/2011</t>
  </si>
  <si>
    <t>6/1/2016</t>
  </si>
  <si>
    <t>6/29/2016</t>
  </si>
  <si>
    <t>7/30/2015</t>
  </si>
  <si>
    <t>8/8/2015</t>
  </si>
  <si>
    <t>Mozambique</t>
  </si>
  <si>
    <t>2/10/2012</t>
  </si>
  <si>
    <t>2/15/2012</t>
  </si>
  <si>
    <t>Row Labels</t>
  </si>
  <si>
    <t>Grand Total</t>
  </si>
  <si>
    <t>Sum of Total Revenue</t>
  </si>
  <si>
    <t>Sum of Total Profit</t>
  </si>
  <si>
    <t>Distinct Count of Region</t>
  </si>
  <si>
    <t>Sum of Total Cost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</si>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</sst>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1">
    <cellStyle name="Normal" xfId="0" builtinId="0"/>
  </cellStyles>
  <dxfs count="20">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[Dashboard.xlsx]Regionwise Revenue!PivotTable2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'Regionwise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'Regionwise Revenue'!$B$4:$B$11</c:f>
              <c:numCache>
                <c:formatCode>General</c:formatCode>
                <c:ptCount val="7"/>
                <c:pt idx="0">
                  <c:v>21347091.02</c:v>
                </c:pt>
                <c:pt idx="1">
                  <c:v>14094265.130000001</c:v>
                </c:pt>
                <c:pt idx="2">
                  <c:v>9170385.4900000002</c:v>
                </c:pt>
                <c:pt idx="3">
                  <c:v>33368932.109999999</c:v>
                </c:pt>
                <c:pt idx="4">
                  <c:v>14052706.58</c:v>
                </c:pt>
                <c:pt idx="5">
                  <c:v>5643356.5499999998</c:v>
                </c:pt>
                <c:pt idx="6">
                  <c:v>39672031.43</c:v>
                </c:pt>
              </c:numCache>
            </c:numRef>
          </c:val>
          <c:extLst>
            <c:ext xmlns:c16="http://schemas.microsoft.com/office/drawing/2014/chart" uri="{C3380CC4-5D6E-409C-BE32-E72D297353CC}">
              <c16:uniqueId val="{00000000-D1DB-4B05-BECE-7A34FA6A0D44}"/>
            </c:ext>
          </c:extLst>
        </c:ser>
        <c:dLbls>
          <c:showLegendKey val="0"/>
          <c:showVal val="0"/>
          <c:showCatName val="0"/>
          <c:showSerName val="0"/>
          <c:showPercent val="0"/>
          <c:showBubbleSize val="0"/>
        </c:dLbls>
        <c:gapWidth val="100"/>
        <c:overlap val="-24"/>
        <c:axId val="276554880"/>
        <c:axId val="154796416"/>
      </c:barChart>
      <c:catAx>
        <c:axId val="27655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96416"/>
        <c:crosses val="autoZero"/>
        <c:auto val="1"/>
        <c:lblAlgn val="ctr"/>
        <c:lblOffset val="100"/>
        <c:noMultiLvlLbl val="0"/>
      </c:catAx>
      <c:valAx>
        <c:axId val="154796416"/>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5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[Dashboard.xlsx]Item type profit!PivotTable3</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Item Type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type profit'!$B$3</c:f>
              <c:strCache>
                <c:ptCount val="1"/>
                <c:pt idx="0">
                  <c:v>Sum of Total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type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profit'!$B$4:$B$16</c:f>
              <c:numCache>
                <c:formatCode>General</c:formatCode>
                <c:ptCount val="12"/>
                <c:pt idx="0">
                  <c:v>3886643.7</c:v>
                </c:pt>
                <c:pt idx="1">
                  <c:v>888047.28</c:v>
                </c:pt>
                <c:pt idx="2">
                  <c:v>2292443.4300000002</c:v>
                </c:pt>
                <c:pt idx="3">
                  <c:v>5233334.4000000004</c:v>
                </c:pt>
                <c:pt idx="4">
                  <c:v>14556048.66</c:v>
                </c:pt>
                <c:pt idx="5">
                  <c:v>120495.18</c:v>
                </c:pt>
                <c:pt idx="6">
                  <c:v>7412605.71</c:v>
                </c:pt>
                <c:pt idx="7">
                  <c:v>610610</c:v>
                </c:pt>
                <c:pt idx="8">
                  <c:v>5929583.75</c:v>
                </c:pt>
                <c:pt idx="9">
                  <c:v>1220622.48</c:v>
                </c:pt>
                <c:pt idx="10">
                  <c:v>751944.18</c:v>
                </c:pt>
                <c:pt idx="11">
                  <c:v>1265819.6299999999</c:v>
                </c:pt>
              </c:numCache>
            </c:numRef>
          </c:val>
          <c:extLst>
            <c:ext xmlns:c16="http://schemas.microsoft.com/office/drawing/2014/chart" uri="{C3380CC4-5D6E-409C-BE32-E72D297353CC}">
              <c16:uniqueId val="{00000000-F595-4D84-8604-DAEEA74AF71C}"/>
            </c:ext>
          </c:extLst>
        </c:ser>
        <c:dLbls>
          <c:showLegendKey val="0"/>
          <c:showVal val="0"/>
          <c:showCatName val="0"/>
          <c:showSerName val="0"/>
          <c:showPercent val="0"/>
          <c:showBubbleSize val="0"/>
        </c:dLbls>
        <c:gapWidth val="150"/>
        <c:axId val="985742176"/>
        <c:axId val="983183232"/>
      </c:barChart>
      <c:lineChart>
        <c:grouping val="standard"/>
        <c:varyColors val="0"/>
        <c:ser>
          <c:idx val="1"/>
          <c:order val="1"/>
          <c:tx>
            <c:strRef>
              <c:f>'Item type profit'!$C$3</c:f>
              <c:strCache>
                <c:ptCount val="1"/>
                <c:pt idx="0">
                  <c:v>Distinct Count of Region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'Item type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profit'!$C$4:$C$16</c:f>
              <c:numCache>
                <c:formatCode>General</c:formatCode>
                <c:ptCount val="12"/>
                <c:pt idx="0">
                  <c:v>3</c:v>
                </c:pt>
                <c:pt idx="1">
                  <c:v>4</c:v>
                </c:pt>
                <c:pt idx="2">
                  <c:v>4</c:v>
                </c:pt>
                <c:pt idx="3">
                  <c:v>6</c:v>
                </c:pt>
                <c:pt idx="4">
                  <c:v>6</c:v>
                </c:pt>
                <c:pt idx="5">
                  <c:v>4</c:v>
                </c:pt>
                <c:pt idx="6">
                  <c:v>5</c:v>
                </c:pt>
                <c:pt idx="7">
                  <c:v>2</c:v>
                </c:pt>
                <c:pt idx="8">
                  <c:v>5</c:v>
                </c:pt>
                <c:pt idx="9">
                  <c:v>5</c:v>
                </c:pt>
                <c:pt idx="10">
                  <c:v>2</c:v>
                </c:pt>
                <c:pt idx="11">
                  <c:v>3</c:v>
                </c:pt>
              </c:numCache>
            </c:numRef>
          </c:val>
          <c:smooth val="0"/>
          <c:extLst>
            <c:ext xmlns:c16="http://schemas.microsoft.com/office/drawing/2014/chart" uri="{C3380CC4-5D6E-409C-BE32-E72D297353CC}">
              <c16:uniqueId val="{00000001-F595-4D84-8604-DAEEA74AF71C}"/>
            </c:ext>
          </c:extLst>
        </c:ser>
        <c:dLbls>
          <c:showLegendKey val="0"/>
          <c:showVal val="0"/>
          <c:showCatName val="0"/>
          <c:showSerName val="0"/>
          <c:showPercent val="0"/>
          <c:showBubbleSize val="0"/>
        </c:dLbls>
        <c:marker val="1"/>
        <c:smooth val="0"/>
        <c:axId val="988945280"/>
        <c:axId val="988937600"/>
      </c:lineChart>
      <c:catAx>
        <c:axId val="985742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183232"/>
        <c:auto val="1"/>
        <c:lblAlgn val="ctr"/>
        <c:lblOffset val="100"/>
        <c:noMultiLvlLbl val="0"/>
      </c:catAx>
      <c:valAx>
        <c:axId val="98318323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742176"/>
        <c:crossBetween val="between"/>
      </c:valAx>
      <c:valAx>
        <c:axId val="9889376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945280"/>
        <c:crosses val="max"/>
        <c:crossBetween val="between"/>
      </c:valAx>
      <c:catAx>
        <c:axId val="988945280"/>
        <c:scaling>
          <c:orientation val="minMax"/>
        </c:scaling>
        <c:delete val="1"/>
        <c:axPos val="b"/>
        <c:numFmt formatCode="General" sourceLinked="1"/>
        <c:majorTickMark val="none"/>
        <c:minorTickMark val="none"/>
        <c:tickLblPos val="nextTo"/>
        <c:crossAx val="98893760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[Dashboard.xlsx]Cost vs Profit!PivotTable4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Cost vs Total Profit</a:t>
            </a:r>
          </a:p>
        </c:rich>
      </c:tx>
      <c:layout>
        <c:manualLayout>
          <c:xMode val="edge"/>
          <c:yMode val="edge"/>
          <c:x val="0.31759011373578305"/>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27824089640747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9155775251852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3222359532407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848993244630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511303345371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77645707698149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93465151111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'Cost vs Profit'!$B$3</c:f>
              <c:strCache>
                <c:ptCount val="1"/>
                <c:pt idx="0">
                  <c:v>Sum of Total Cost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'Cost vs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'Cost vs Profit'!$B$4:$B$11</c:f>
              <c:numCache>
                <c:formatCode>General</c:formatCode>
                <c:ptCount val="7"/>
                <c:pt idx="0">
                  <c:v>15233245.15</c:v>
                </c:pt>
                <c:pt idx="1">
                  <c:v>9372105.0999999996</c:v>
                </c:pt>
                <c:pt idx="2">
                  <c:v>6323477.6399999997</c:v>
                </c:pt>
                <c:pt idx="3">
                  <c:v>22285993.48</c:v>
                </c:pt>
                <c:pt idx="4">
                  <c:v>8291514.7199999997</c:v>
                </c:pt>
                <c:pt idx="5">
                  <c:v>4185413.79</c:v>
                </c:pt>
                <c:pt idx="6">
                  <c:v>27488820.030000001</c:v>
                </c:pt>
              </c:numCache>
            </c:numRef>
          </c:val>
          <c:extLst>
            <c:ext xmlns:c16="http://schemas.microsoft.com/office/drawing/2014/chart" uri="{C3380CC4-5D6E-409C-BE32-E72D297353CC}">
              <c16:uniqueId val="{00000000-82DA-4B39-AFD3-F54080C53543}"/>
            </c:ext>
          </c:extLst>
        </c:ser>
        <c:ser>
          <c:idx val="1"/>
          <c:order val="1"/>
          <c:tx>
            <c:strRef>
              <c:f>'Cost vs Profit'!$C$3</c:f>
              <c:strCache>
                <c:ptCount val="1"/>
                <c:pt idx="0">
                  <c:v>Sum of 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DA-4B39-AFD3-F54080C535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DA-4B39-AFD3-F54080C535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2DA-4B39-AFD3-F54080C535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DA-4B39-AFD3-F54080C535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2DA-4B39-AFD3-F54080C5354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DA-4B39-AFD3-F54080C5354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2DA-4B39-AFD3-F54080C53543}"/>
              </c:ext>
            </c:extLst>
          </c:dPt>
          <c:dLbls>
            <c:dLbl>
              <c:idx val="0"/>
              <c:layout>
                <c:manualLayout>
                  <c:x val="6.6549346515111157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2DA-4B39-AFD3-F54080C53543}"/>
                </c:ext>
              </c:extLst>
            </c:dLbl>
            <c:dLbl>
              <c:idx val="1"/>
              <c:layout>
                <c:manualLayout>
                  <c:x val="9.4278240896407475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DA-4B39-AFD3-F54080C53543}"/>
                </c:ext>
              </c:extLst>
            </c:dLbl>
            <c:dLbl>
              <c:idx val="2"/>
              <c:layout>
                <c:manualLayout>
                  <c:x val="0.11091557752518526"/>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2DA-4B39-AFD3-F54080C53543}"/>
                </c:ext>
              </c:extLst>
            </c:dLbl>
            <c:dLbl>
              <c:idx val="3"/>
              <c:layout>
                <c:manualLayout>
                  <c:x val="6.9322235953240788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2DA-4B39-AFD3-F54080C53543}"/>
                </c:ext>
              </c:extLst>
            </c:dLbl>
            <c:dLbl>
              <c:idx val="4"/>
              <c:layout>
                <c:manualLayout>
                  <c:x val="-5.2684899324463047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2DA-4B39-AFD3-F54080C53543}"/>
                </c:ext>
              </c:extLst>
            </c:dLbl>
            <c:dLbl>
              <c:idx val="5"/>
              <c:layout>
                <c:manualLayout>
                  <c:x val="-9.7051130334537106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2DA-4B39-AFD3-F54080C53543}"/>
                </c:ext>
              </c:extLst>
            </c:dLbl>
            <c:dLbl>
              <c:idx val="6"/>
              <c:layout>
                <c:manualLayout>
                  <c:x val="-6.3776457076981499E-2"/>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82DA-4B39-AFD3-F54080C53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'Cost vs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'Cost vs Profit'!$C$4:$C$11</c:f>
              <c:numCache>
                <c:formatCode>General</c:formatCode>
                <c:ptCount val="7"/>
                <c:pt idx="0">
                  <c:v>6113845.8700000001</c:v>
                </c:pt>
                <c:pt idx="1">
                  <c:v>4722160.03</c:v>
                </c:pt>
                <c:pt idx="2">
                  <c:v>2846907.85</c:v>
                </c:pt>
                <c:pt idx="3">
                  <c:v>11082938.630000001</c:v>
                </c:pt>
                <c:pt idx="4">
                  <c:v>5761191.8600000003</c:v>
                </c:pt>
                <c:pt idx="5">
                  <c:v>1457942.76</c:v>
                </c:pt>
                <c:pt idx="6">
                  <c:v>12183211.4</c:v>
                </c:pt>
              </c:numCache>
            </c:numRef>
          </c:val>
          <c:extLst>
            <c:ext xmlns:c16="http://schemas.microsoft.com/office/drawing/2014/chart" uri="{C3380CC4-5D6E-409C-BE32-E72D297353CC}">
              <c16:uniqueId val="{00000001-82DA-4B39-AFD3-F54080C5354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[Dashboard.xlsx]Regionwise Revenue!PivotTable2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'Regionwise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'Regionwise Revenue'!$B$4:$B$11</c:f>
              <c:numCache>
                <c:formatCode>General</c:formatCode>
                <c:ptCount val="7"/>
                <c:pt idx="0">
                  <c:v>21347091.02</c:v>
                </c:pt>
                <c:pt idx="1">
                  <c:v>14094265.130000001</c:v>
                </c:pt>
                <c:pt idx="2">
                  <c:v>9170385.4900000002</c:v>
                </c:pt>
                <c:pt idx="3">
                  <c:v>33368932.109999999</c:v>
                </c:pt>
                <c:pt idx="4">
                  <c:v>14052706.58</c:v>
                </c:pt>
                <c:pt idx="5">
                  <c:v>5643356.5499999998</c:v>
                </c:pt>
                <c:pt idx="6">
                  <c:v>39672031.43</c:v>
                </c:pt>
              </c:numCache>
            </c:numRef>
          </c:val>
          <c:extLst>
            <c:ext xmlns:c16="http://schemas.microsoft.com/office/drawing/2014/chart" uri="{C3380CC4-5D6E-409C-BE32-E72D297353CC}">
              <c16:uniqueId val="{00000000-3302-4008-973C-8110764451FB}"/>
            </c:ext>
          </c:extLst>
        </c:ser>
        <c:dLbls>
          <c:showLegendKey val="0"/>
          <c:showVal val="0"/>
          <c:showCatName val="0"/>
          <c:showSerName val="0"/>
          <c:showPercent val="0"/>
          <c:showBubbleSize val="0"/>
        </c:dLbls>
        <c:gapWidth val="100"/>
        <c:overlap val="-24"/>
        <c:axId val="276554880"/>
        <c:axId val="154796416"/>
      </c:barChart>
      <c:catAx>
        <c:axId val="27655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96416"/>
        <c:crosses val="autoZero"/>
        <c:auto val="1"/>
        <c:lblAlgn val="ctr"/>
        <c:lblOffset val="100"/>
        <c:noMultiLvlLbl val="0"/>
      </c:catAx>
      <c:valAx>
        <c:axId val="154796416"/>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5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[Dashboard.xlsx]Cost vs Profit!PivotTable4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Cost vs Total Profit</a:t>
            </a:r>
          </a:p>
        </c:rich>
      </c:tx>
      <c:layout>
        <c:manualLayout>
          <c:xMode val="edge"/>
          <c:yMode val="edge"/>
          <c:x val="0.14278296189840023"/>
          <c:y val="5.09257458355554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27824089640747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9155775251852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3222359532407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848993244630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511303345371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77645707698149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93465151111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93465151111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27824089640747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9155775251852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3222359532407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848993244630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511303345371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77645707698149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93465151111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27824089640747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9155775251852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3222359532407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848993244630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511303345371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77645707698149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'Cost vs Profit'!$B$3</c:f>
              <c:strCache>
                <c:ptCount val="1"/>
                <c:pt idx="0">
                  <c:v>Sum of Total Cost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59-4CA4-8771-3C033D5AD1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759-4CA4-8771-3C033D5AD1F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759-4CA4-8771-3C033D5AD1F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759-4CA4-8771-3C033D5AD1F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759-4CA4-8771-3C033D5AD1F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759-4CA4-8771-3C033D5AD1F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759-4CA4-8771-3C033D5AD1F9}"/>
              </c:ext>
            </c:extLst>
          </c:dPt>
          <c:cat>
            <c:strRef>
              <c:f>'Cost vs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'Cost vs Profit'!$B$4:$B$11</c:f>
              <c:numCache>
                <c:formatCode>General</c:formatCode>
                <c:ptCount val="7"/>
                <c:pt idx="0">
                  <c:v>15233245.15</c:v>
                </c:pt>
                <c:pt idx="1">
                  <c:v>9372105.0999999996</c:v>
                </c:pt>
                <c:pt idx="2">
                  <c:v>6323477.6399999997</c:v>
                </c:pt>
                <c:pt idx="3">
                  <c:v>22285993.48</c:v>
                </c:pt>
                <c:pt idx="4">
                  <c:v>8291514.7199999997</c:v>
                </c:pt>
                <c:pt idx="5">
                  <c:v>4185413.79</c:v>
                </c:pt>
                <c:pt idx="6">
                  <c:v>27488820.030000001</c:v>
                </c:pt>
              </c:numCache>
            </c:numRef>
          </c:val>
          <c:extLst>
            <c:ext xmlns:c16="http://schemas.microsoft.com/office/drawing/2014/chart" uri="{C3380CC4-5D6E-409C-BE32-E72D297353CC}">
              <c16:uniqueId val="{0000000E-4759-4CA4-8771-3C033D5AD1F9}"/>
            </c:ext>
          </c:extLst>
        </c:ser>
        <c:ser>
          <c:idx val="1"/>
          <c:order val="1"/>
          <c:tx>
            <c:strRef>
              <c:f>'Cost vs Profit'!$C$3</c:f>
              <c:strCache>
                <c:ptCount val="1"/>
                <c:pt idx="0">
                  <c:v>Sum of 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759-4CA4-8771-3C033D5AD1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4759-4CA4-8771-3C033D5AD1F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4759-4CA4-8771-3C033D5AD1F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4759-4CA4-8771-3C033D5AD1F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759-4CA4-8771-3C033D5AD1F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4759-4CA4-8771-3C033D5AD1F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4759-4CA4-8771-3C033D5AD1F9}"/>
              </c:ext>
            </c:extLst>
          </c:dPt>
          <c:dLbls>
            <c:dLbl>
              <c:idx val="0"/>
              <c:layout>
                <c:manualLayout>
                  <c:x val="6.6549346515111157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4759-4CA4-8771-3C033D5AD1F9}"/>
                </c:ext>
              </c:extLst>
            </c:dLbl>
            <c:dLbl>
              <c:idx val="1"/>
              <c:layout>
                <c:manualLayout>
                  <c:x val="9.4278240896407475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4759-4CA4-8771-3C033D5AD1F9}"/>
                </c:ext>
              </c:extLst>
            </c:dLbl>
            <c:dLbl>
              <c:idx val="2"/>
              <c:layout>
                <c:manualLayout>
                  <c:x val="0.11091557752518526"/>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4759-4CA4-8771-3C033D5AD1F9}"/>
                </c:ext>
              </c:extLst>
            </c:dLbl>
            <c:dLbl>
              <c:idx val="3"/>
              <c:layout>
                <c:manualLayout>
                  <c:x val="6.9322235953240788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4759-4CA4-8771-3C033D5AD1F9}"/>
                </c:ext>
              </c:extLst>
            </c:dLbl>
            <c:dLbl>
              <c:idx val="4"/>
              <c:layout>
                <c:manualLayout>
                  <c:x val="-5.2684899324463047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4759-4CA4-8771-3C033D5AD1F9}"/>
                </c:ext>
              </c:extLst>
            </c:dLbl>
            <c:dLbl>
              <c:idx val="5"/>
              <c:layout>
                <c:manualLayout>
                  <c:x val="-9.7051130334537106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4759-4CA4-8771-3C033D5AD1F9}"/>
                </c:ext>
              </c:extLst>
            </c:dLbl>
            <c:dLbl>
              <c:idx val="6"/>
              <c:layout>
                <c:manualLayout>
                  <c:x val="-6.3776457076981499E-2"/>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4759-4CA4-8771-3C033D5AD1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'Cost vs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'Cost vs Profit'!$C$4:$C$11</c:f>
              <c:numCache>
                <c:formatCode>General</c:formatCode>
                <c:ptCount val="7"/>
                <c:pt idx="0">
                  <c:v>6113845.8700000001</c:v>
                </c:pt>
                <c:pt idx="1">
                  <c:v>4722160.03</c:v>
                </c:pt>
                <c:pt idx="2">
                  <c:v>2846907.85</c:v>
                </c:pt>
                <c:pt idx="3">
                  <c:v>11082938.630000001</c:v>
                </c:pt>
                <c:pt idx="4">
                  <c:v>5761191.8600000003</c:v>
                </c:pt>
                <c:pt idx="5">
                  <c:v>1457942.76</c:v>
                </c:pt>
                <c:pt idx="6">
                  <c:v>12183211.4</c:v>
                </c:pt>
              </c:numCache>
            </c:numRef>
          </c:val>
          <c:extLst>
            <c:ext xmlns:c16="http://schemas.microsoft.com/office/drawing/2014/chart" uri="{C3380CC4-5D6E-409C-BE32-E72D297353CC}">
              <c16:uniqueId val="{0000001D-4759-4CA4-8771-3C033D5AD1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[Dashboard.xlsx]Item type profit!PivotTable3</c:name>
    <c:fmtId val="6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Item Type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type profit'!$B$3</c:f>
              <c:strCache>
                <c:ptCount val="1"/>
                <c:pt idx="0">
                  <c:v>Sum of Total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type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profit'!$B$4:$B$16</c:f>
              <c:numCache>
                <c:formatCode>General</c:formatCode>
                <c:ptCount val="12"/>
                <c:pt idx="0">
                  <c:v>3886643.7</c:v>
                </c:pt>
                <c:pt idx="1">
                  <c:v>888047.28</c:v>
                </c:pt>
                <c:pt idx="2">
                  <c:v>2292443.4300000002</c:v>
                </c:pt>
                <c:pt idx="3">
                  <c:v>5233334.4000000004</c:v>
                </c:pt>
                <c:pt idx="4">
                  <c:v>14556048.66</c:v>
                </c:pt>
                <c:pt idx="5">
                  <c:v>120495.18</c:v>
                </c:pt>
                <c:pt idx="6">
                  <c:v>7412605.71</c:v>
                </c:pt>
                <c:pt idx="7">
                  <c:v>610610</c:v>
                </c:pt>
                <c:pt idx="8">
                  <c:v>5929583.75</c:v>
                </c:pt>
                <c:pt idx="9">
                  <c:v>1220622.48</c:v>
                </c:pt>
                <c:pt idx="10">
                  <c:v>751944.18</c:v>
                </c:pt>
                <c:pt idx="11">
                  <c:v>1265819.6299999999</c:v>
                </c:pt>
              </c:numCache>
            </c:numRef>
          </c:val>
          <c:extLst>
            <c:ext xmlns:c16="http://schemas.microsoft.com/office/drawing/2014/chart" uri="{C3380CC4-5D6E-409C-BE32-E72D297353CC}">
              <c16:uniqueId val="{00000000-2123-44FB-B233-B684474851A1}"/>
            </c:ext>
          </c:extLst>
        </c:ser>
        <c:dLbls>
          <c:showLegendKey val="0"/>
          <c:showVal val="0"/>
          <c:showCatName val="0"/>
          <c:showSerName val="0"/>
          <c:showPercent val="0"/>
          <c:showBubbleSize val="0"/>
        </c:dLbls>
        <c:gapWidth val="150"/>
        <c:axId val="985742176"/>
        <c:axId val="983183232"/>
      </c:barChart>
      <c:lineChart>
        <c:grouping val="standard"/>
        <c:varyColors val="0"/>
        <c:ser>
          <c:idx val="1"/>
          <c:order val="1"/>
          <c:tx>
            <c:strRef>
              <c:f>'Item type profit'!$C$3</c:f>
              <c:strCache>
                <c:ptCount val="1"/>
                <c:pt idx="0">
                  <c:v>Distinct Count of Region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'Item type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profit'!$C$4:$C$16</c:f>
              <c:numCache>
                <c:formatCode>General</c:formatCode>
                <c:ptCount val="12"/>
                <c:pt idx="0">
                  <c:v>3</c:v>
                </c:pt>
                <c:pt idx="1">
                  <c:v>4</c:v>
                </c:pt>
                <c:pt idx="2">
                  <c:v>4</c:v>
                </c:pt>
                <c:pt idx="3">
                  <c:v>6</c:v>
                </c:pt>
                <c:pt idx="4">
                  <c:v>6</c:v>
                </c:pt>
                <c:pt idx="5">
                  <c:v>4</c:v>
                </c:pt>
                <c:pt idx="6">
                  <c:v>5</c:v>
                </c:pt>
                <c:pt idx="7">
                  <c:v>2</c:v>
                </c:pt>
                <c:pt idx="8">
                  <c:v>5</c:v>
                </c:pt>
                <c:pt idx="9">
                  <c:v>5</c:v>
                </c:pt>
                <c:pt idx="10">
                  <c:v>2</c:v>
                </c:pt>
                <c:pt idx="11">
                  <c:v>3</c:v>
                </c:pt>
              </c:numCache>
            </c:numRef>
          </c:val>
          <c:smooth val="0"/>
          <c:extLst>
            <c:ext xmlns:c16="http://schemas.microsoft.com/office/drawing/2014/chart" uri="{C3380CC4-5D6E-409C-BE32-E72D297353CC}">
              <c16:uniqueId val="{00000001-2123-44FB-B233-B684474851A1}"/>
            </c:ext>
          </c:extLst>
        </c:ser>
        <c:dLbls>
          <c:showLegendKey val="0"/>
          <c:showVal val="0"/>
          <c:showCatName val="0"/>
          <c:showSerName val="0"/>
          <c:showPercent val="0"/>
          <c:showBubbleSize val="0"/>
        </c:dLbls>
        <c:marker val="1"/>
        <c:smooth val="0"/>
        <c:axId val="988945280"/>
        <c:axId val="988937600"/>
      </c:lineChart>
      <c:catAx>
        <c:axId val="985742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183232"/>
        <c:crosses val="autoZero"/>
        <c:auto val="1"/>
        <c:lblAlgn val="ctr"/>
        <c:lblOffset val="100"/>
        <c:noMultiLvlLbl val="0"/>
      </c:catAx>
      <c:valAx>
        <c:axId val="98318323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742176"/>
        <c:crosses val="autoZero"/>
        <c:crossBetween val="between"/>
      </c:valAx>
      <c:valAx>
        <c:axId val="9889376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945280"/>
        <c:crosses val="max"/>
        <c:crossBetween val="between"/>
      </c:valAx>
      <c:catAx>
        <c:axId val="988945280"/>
        <c:scaling>
          <c:orientation val="minMax"/>
        </c:scaling>
        <c:delete val="1"/>
        <c:axPos val="b"/>
        <c:numFmt formatCode="General" sourceLinked="1"/>
        <c:majorTickMark val="none"/>
        <c:minorTickMark val="none"/>
        <c:tickLblPos val="nextTo"/>
        <c:crossAx val="9889376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100012</xdr:rowOff>
    </xdr:from>
    <xdr:to>
      <xdr:col>10</xdr:col>
      <xdr:colOff>295275</xdr:colOff>
      <xdr:row>15</xdr:row>
      <xdr:rowOff>176212</xdr:rowOff>
    </xdr:to>
    <xdr:graphicFrame macro="">
      <xdr:nvGraphicFramePr>
        <xdr:cNvPr id="2" name="Chart 1">
          <a:extLst>
            <a:ext uri="{FF2B5EF4-FFF2-40B4-BE49-F238E27FC236}">
              <a16:creationId xmlns:a16="http://schemas.microsoft.com/office/drawing/2014/main" id="{55E5A555-0226-EB25-6644-B68771CA3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1</xdr:row>
      <xdr:rowOff>147637</xdr:rowOff>
    </xdr:from>
    <xdr:to>
      <xdr:col>10</xdr:col>
      <xdr:colOff>219075</xdr:colOff>
      <xdr:row>16</xdr:row>
      <xdr:rowOff>33337</xdr:rowOff>
    </xdr:to>
    <xdr:graphicFrame macro="">
      <xdr:nvGraphicFramePr>
        <xdr:cNvPr id="11" name="Chart 10">
          <a:extLst>
            <a:ext uri="{FF2B5EF4-FFF2-40B4-BE49-F238E27FC236}">
              <a16:creationId xmlns:a16="http://schemas.microsoft.com/office/drawing/2014/main" id="{B70A4EE3-3499-E561-29D6-0101081B2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1</xdr:row>
      <xdr:rowOff>109537</xdr:rowOff>
    </xdr:from>
    <xdr:to>
      <xdr:col>9</xdr:col>
      <xdr:colOff>495300</xdr:colOff>
      <xdr:row>15</xdr:row>
      <xdr:rowOff>185737</xdr:rowOff>
    </xdr:to>
    <xdr:graphicFrame macro="">
      <xdr:nvGraphicFramePr>
        <xdr:cNvPr id="3" name="Chart 2">
          <a:extLst>
            <a:ext uri="{FF2B5EF4-FFF2-40B4-BE49-F238E27FC236}">
              <a16:creationId xmlns:a16="http://schemas.microsoft.com/office/drawing/2014/main" id="{2C7DF82F-ABFC-4C97-C39E-AB3D5E792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581024</xdr:colOff>
      <xdr:row>41</xdr:row>
      <xdr:rowOff>169092</xdr:rowOff>
    </xdr:to>
    <xdr:pic>
      <xdr:nvPicPr>
        <xdr:cNvPr id="2" name="Picture 1" descr="Dashboard background Images - Free Download on Magnific (formerly Freepik)">
          <a:extLst>
            <a:ext uri="{FF2B5EF4-FFF2-40B4-BE49-F238E27FC236}">
              <a16:creationId xmlns:a16="http://schemas.microsoft.com/office/drawing/2014/main" id="{1D3508D2-FED2-B245-B015-5A12DF71F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992224" cy="797959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133350</xdr:colOff>
      <xdr:row>0</xdr:row>
      <xdr:rowOff>104775</xdr:rowOff>
    </xdr:from>
    <xdr:to>
      <xdr:col>20</xdr:col>
      <xdr:colOff>209550</xdr:colOff>
      <xdr:row>2</xdr:row>
      <xdr:rowOff>171450</xdr:rowOff>
    </xdr:to>
    <xdr:sp macro="" textlink="">
      <xdr:nvSpPr>
        <xdr:cNvPr id="3" name="TextBox 2">
          <a:extLst>
            <a:ext uri="{FF2B5EF4-FFF2-40B4-BE49-F238E27FC236}">
              <a16:creationId xmlns:a16="http://schemas.microsoft.com/office/drawing/2014/main" id="{399DAF96-BFB4-E343-7F9F-96E8041D1F6E}"/>
            </a:ext>
          </a:extLst>
        </xdr:cNvPr>
        <xdr:cNvSpPr txBox="1"/>
      </xdr:nvSpPr>
      <xdr:spPr>
        <a:xfrm>
          <a:off x="133350" y="104775"/>
          <a:ext cx="12268200" cy="44767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Agency FB" panose="020B0503020202020204" pitchFamily="34" charset="0"/>
            </a:rPr>
            <a:t>AMAZON SALES ANALYSIS</a:t>
          </a:r>
          <a:r>
            <a:rPr lang="en-IN" sz="2400" b="1" baseline="0">
              <a:solidFill>
                <a:schemeClr val="bg1"/>
              </a:solidFill>
              <a:latin typeface="Agency FB" panose="020B0503020202020204" pitchFamily="34" charset="0"/>
            </a:rPr>
            <a:t> REPORT</a:t>
          </a:r>
          <a:endParaRPr lang="en-IN" sz="1100" b="1">
            <a:solidFill>
              <a:schemeClr val="bg1"/>
            </a:solidFill>
            <a:latin typeface="Agency FB" panose="020B0503020202020204" pitchFamily="34" charset="0"/>
          </a:endParaRPr>
        </a:p>
      </xdr:txBody>
    </xdr:sp>
    <xdr:clientData/>
  </xdr:twoCellAnchor>
  <xdr:twoCellAnchor editAs="oneCell">
    <xdr:from>
      <xdr:col>19</xdr:col>
      <xdr:colOff>219075</xdr:colOff>
      <xdr:row>0</xdr:row>
      <xdr:rowOff>76200</xdr:rowOff>
    </xdr:from>
    <xdr:to>
      <xdr:col>20</xdr:col>
      <xdr:colOff>142875</xdr:colOff>
      <xdr:row>3</xdr:row>
      <xdr:rowOff>38100</xdr:rowOff>
    </xdr:to>
    <xdr:pic>
      <xdr:nvPicPr>
        <xdr:cNvPr id="5" name="Graphic 4" descr="Presentation with bar chart outline">
          <a:extLst>
            <a:ext uri="{FF2B5EF4-FFF2-40B4-BE49-F238E27FC236}">
              <a16:creationId xmlns:a16="http://schemas.microsoft.com/office/drawing/2014/main" id="{EA66DC59-D7DC-0D1D-5E38-3459425F21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801475" y="76200"/>
          <a:ext cx="533400" cy="533400"/>
        </a:xfrm>
        <a:prstGeom prst="rect">
          <a:avLst/>
        </a:prstGeom>
      </xdr:spPr>
    </xdr:pic>
    <xdr:clientData/>
  </xdr:twoCellAnchor>
  <xdr:twoCellAnchor editAs="oneCell">
    <xdr:from>
      <xdr:col>0</xdr:col>
      <xdr:colOff>133350</xdr:colOff>
      <xdr:row>0</xdr:row>
      <xdr:rowOff>76200</xdr:rowOff>
    </xdr:from>
    <xdr:to>
      <xdr:col>1</xdr:col>
      <xdr:colOff>38172</xdr:colOff>
      <xdr:row>3</xdr:row>
      <xdr:rowOff>19122</xdr:rowOff>
    </xdr:to>
    <xdr:pic>
      <xdr:nvPicPr>
        <xdr:cNvPr id="8" name="Picture 7" descr="Presentation with org chart outline">
          <a:extLst>
            <a:ext uri="{FF2B5EF4-FFF2-40B4-BE49-F238E27FC236}">
              <a16:creationId xmlns:a16="http://schemas.microsoft.com/office/drawing/2014/main" id="{EF01C8A0-EAA1-6478-954A-34902469F3FB}"/>
            </a:ext>
          </a:extLst>
        </xdr:cNvPr>
        <xdr:cNvPicPr>
          <a:picLocks noChangeAspect="1"/>
        </xdr:cNvPicPr>
      </xdr:nvPicPr>
      <xdr:blipFill>
        <a:blip xmlns:r="http://schemas.openxmlformats.org/officeDocument/2006/relationships" r:embed="rId4">
          <a:lum bright="70000" contrast="-70000"/>
        </a:blip>
        <a:stretch>
          <a:fillRect/>
        </a:stretch>
      </xdr:blipFill>
      <xdr:spPr>
        <a:xfrm>
          <a:off x="133350" y="76200"/>
          <a:ext cx="514422" cy="514422"/>
        </a:xfrm>
        <a:prstGeom prst="rect">
          <a:avLst/>
        </a:prstGeom>
        <a:noFill/>
        <a:ln>
          <a:noFill/>
        </a:ln>
      </xdr:spPr>
    </xdr:pic>
    <xdr:clientData/>
  </xdr:twoCellAnchor>
  <xdr:twoCellAnchor>
    <xdr:from>
      <xdr:col>0</xdr:col>
      <xdr:colOff>133349</xdr:colOff>
      <xdr:row>3</xdr:row>
      <xdr:rowOff>28575</xdr:rowOff>
    </xdr:from>
    <xdr:to>
      <xdr:col>3</xdr:col>
      <xdr:colOff>219074</xdr:colOff>
      <xdr:row>21</xdr:row>
      <xdr:rowOff>38100</xdr:rowOff>
    </xdr:to>
    <xdr:sp macro="" textlink="">
      <xdr:nvSpPr>
        <xdr:cNvPr id="9" name="Rectangle 8">
          <a:extLst>
            <a:ext uri="{FF2B5EF4-FFF2-40B4-BE49-F238E27FC236}">
              <a16:creationId xmlns:a16="http://schemas.microsoft.com/office/drawing/2014/main" id="{71D0DC6C-DF56-74F3-34BE-3653B7089DA2}"/>
            </a:ext>
          </a:extLst>
        </xdr:cNvPr>
        <xdr:cNvSpPr/>
      </xdr:nvSpPr>
      <xdr:spPr>
        <a:xfrm>
          <a:off x="133349" y="600075"/>
          <a:ext cx="1914525" cy="3438525"/>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88608</xdr:colOff>
      <xdr:row>8</xdr:row>
      <xdr:rowOff>40773</xdr:rowOff>
    </xdr:from>
    <xdr:ext cx="184731" cy="937629"/>
    <xdr:sp macro="" textlink="">
      <xdr:nvSpPr>
        <xdr:cNvPr id="15" name="Rectangle 14">
          <a:extLst>
            <a:ext uri="{FF2B5EF4-FFF2-40B4-BE49-F238E27FC236}">
              <a16:creationId xmlns:a16="http://schemas.microsoft.com/office/drawing/2014/main" id="{0654A5BE-3D58-C67E-A95C-A4E81ABFF199}"/>
            </a:ext>
          </a:extLst>
        </xdr:cNvPr>
        <xdr:cNvSpPr/>
      </xdr:nvSpPr>
      <xdr:spPr>
        <a:xfrm>
          <a:off x="6184608" y="1564773"/>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38100</xdr:colOff>
      <xdr:row>17</xdr:row>
      <xdr:rowOff>180975</xdr:rowOff>
    </xdr:from>
    <xdr:ext cx="184731" cy="264560"/>
    <xdr:sp macro="" textlink="">
      <xdr:nvSpPr>
        <xdr:cNvPr id="17" name="TextBox 16">
          <a:extLst>
            <a:ext uri="{FF2B5EF4-FFF2-40B4-BE49-F238E27FC236}">
              <a16:creationId xmlns:a16="http://schemas.microsoft.com/office/drawing/2014/main" id="{8A9DF4B2-D587-8152-F311-9437D7988B21}"/>
            </a:ext>
          </a:extLst>
        </xdr:cNvPr>
        <xdr:cNvSpPr txBox="1"/>
      </xdr:nvSpPr>
      <xdr:spPr>
        <a:xfrm>
          <a:off x="9182100"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295275</xdr:colOff>
      <xdr:row>3</xdr:row>
      <xdr:rowOff>76200</xdr:rowOff>
    </xdr:from>
    <xdr:to>
      <xdr:col>6</xdr:col>
      <xdr:colOff>400050</xdr:colOff>
      <xdr:row>8</xdr:row>
      <xdr:rowOff>76200</xdr:rowOff>
    </xdr:to>
    <xdr:grpSp>
      <xdr:nvGrpSpPr>
        <xdr:cNvPr id="26" name="Group 25">
          <a:extLst>
            <a:ext uri="{FF2B5EF4-FFF2-40B4-BE49-F238E27FC236}">
              <a16:creationId xmlns:a16="http://schemas.microsoft.com/office/drawing/2014/main" id="{B5928BFC-DD06-9CE5-05AA-ECCB7E315115}"/>
            </a:ext>
          </a:extLst>
        </xdr:cNvPr>
        <xdr:cNvGrpSpPr/>
      </xdr:nvGrpSpPr>
      <xdr:grpSpPr>
        <a:xfrm>
          <a:off x="2124075" y="647700"/>
          <a:ext cx="1933575" cy="952500"/>
          <a:chOff x="2047875" y="647700"/>
          <a:chExt cx="1933575" cy="952500"/>
        </a:xfrm>
      </xdr:grpSpPr>
      <xdr:sp macro="" textlink="">
        <xdr:nvSpPr>
          <xdr:cNvPr id="10" name="Rectangle: Rounded Corners 9">
            <a:extLst>
              <a:ext uri="{FF2B5EF4-FFF2-40B4-BE49-F238E27FC236}">
                <a16:creationId xmlns:a16="http://schemas.microsoft.com/office/drawing/2014/main" id="{5E7813FD-6A40-A9AB-897A-F44D5B14AADE}"/>
              </a:ext>
            </a:extLst>
          </xdr:cNvPr>
          <xdr:cNvSpPr/>
        </xdr:nvSpPr>
        <xdr:spPr>
          <a:xfrm>
            <a:off x="2047875" y="647700"/>
            <a:ext cx="1933575" cy="9525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2E3C16DF-419E-C1A7-76C6-054C44909EF6}"/>
              </a:ext>
            </a:extLst>
          </xdr:cNvPr>
          <xdr:cNvSpPr txBox="1"/>
        </xdr:nvSpPr>
        <xdr:spPr>
          <a:xfrm>
            <a:off x="2124075" y="723900"/>
            <a:ext cx="1781175" cy="285750"/>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a:t>
            </a:r>
            <a:r>
              <a:rPr lang="en-IN" sz="1600" b="1" baseline="0">
                <a:solidFill>
                  <a:schemeClr val="tx1"/>
                </a:solidFill>
              </a:rPr>
              <a:t> Units Sold</a:t>
            </a:r>
            <a:endParaRPr lang="en-IN" sz="1100" b="1">
              <a:solidFill>
                <a:schemeClr val="tx1"/>
              </a:solidFill>
            </a:endParaRPr>
          </a:p>
        </xdr:txBody>
      </xdr:sp>
      <xdr:sp macro="" textlink="">
        <xdr:nvSpPr>
          <xdr:cNvPr id="18" name="TextBox 17">
            <a:extLst>
              <a:ext uri="{FF2B5EF4-FFF2-40B4-BE49-F238E27FC236}">
                <a16:creationId xmlns:a16="http://schemas.microsoft.com/office/drawing/2014/main" id="{C1C2D2EC-4137-C5DD-6CF4-46D661185C5C}"/>
              </a:ext>
            </a:extLst>
          </xdr:cNvPr>
          <xdr:cNvSpPr txBox="1"/>
        </xdr:nvSpPr>
        <xdr:spPr>
          <a:xfrm>
            <a:off x="2362200" y="962025"/>
            <a:ext cx="14573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512871</a:t>
            </a:r>
            <a:r>
              <a:rPr lang="en-IN">
                <a:effectLst/>
              </a:rPr>
              <a:t> </a:t>
            </a:r>
            <a:endParaRPr lang="en-IN" sz="1100"/>
          </a:p>
        </xdr:txBody>
      </xdr:sp>
    </xdr:grpSp>
    <xdr:clientData/>
  </xdr:twoCellAnchor>
  <xdr:twoCellAnchor>
    <xdr:from>
      <xdr:col>6</xdr:col>
      <xdr:colOff>428625</xdr:colOff>
      <xdr:row>3</xdr:row>
      <xdr:rowOff>76200</xdr:rowOff>
    </xdr:from>
    <xdr:to>
      <xdr:col>9</xdr:col>
      <xdr:colOff>533400</xdr:colOff>
      <xdr:row>8</xdr:row>
      <xdr:rowOff>76200</xdr:rowOff>
    </xdr:to>
    <xdr:grpSp>
      <xdr:nvGrpSpPr>
        <xdr:cNvPr id="27" name="Group 26">
          <a:extLst>
            <a:ext uri="{FF2B5EF4-FFF2-40B4-BE49-F238E27FC236}">
              <a16:creationId xmlns:a16="http://schemas.microsoft.com/office/drawing/2014/main" id="{CB122991-1611-4A7B-B5FB-B4E1FB816B6F}"/>
            </a:ext>
          </a:extLst>
        </xdr:cNvPr>
        <xdr:cNvGrpSpPr/>
      </xdr:nvGrpSpPr>
      <xdr:grpSpPr>
        <a:xfrm>
          <a:off x="4086225" y="647700"/>
          <a:ext cx="1933575" cy="952500"/>
          <a:chOff x="2047875" y="647700"/>
          <a:chExt cx="1933575" cy="952500"/>
        </a:xfrm>
      </xdr:grpSpPr>
      <xdr:sp macro="" textlink="">
        <xdr:nvSpPr>
          <xdr:cNvPr id="28" name="Rectangle: Rounded Corners 27">
            <a:extLst>
              <a:ext uri="{FF2B5EF4-FFF2-40B4-BE49-F238E27FC236}">
                <a16:creationId xmlns:a16="http://schemas.microsoft.com/office/drawing/2014/main" id="{7DBCC58A-8362-B810-17D5-B575160C55B4}"/>
              </a:ext>
            </a:extLst>
          </xdr:cNvPr>
          <xdr:cNvSpPr/>
        </xdr:nvSpPr>
        <xdr:spPr>
          <a:xfrm>
            <a:off x="2047875" y="647700"/>
            <a:ext cx="1933575" cy="9525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8EC0CF55-C128-202F-F873-5874285EC41A}"/>
              </a:ext>
            </a:extLst>
          </xdr:cNvPr>
          <xdr:cNvSpPr txBox="1"/>
        </xdr:nvSpPr>
        <xdr:spPr>
          <a:xfrm>
            <a:off x="2124075" y="704850"/>
            <a:ext cx="1781175" cy="285750"/>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 Revenue</a:t>
            </a:r>
            <a:endParaRPr lang="en-IN" sz="1100" b="1">
              <a:solidFill>
                <a:schemeClr val="tx1"/>
              </a:solidFill>
            </a:endParaRPr>
          </a:p>
        </xdr:txBody>
      </xdr:sp>
      <xdr:sp macro="" textlink="">
        <xdr:nvSpPr>
          <xdr:cNvPr id="30" name="TextBox 29">
            <a:extLst>
              <a:ext uri="{FF2B5EF4-FFF2-40B4-BE49-F238E27FC236}">
                <a16:creationId xmlns:a16="http://schemas.microsoft.com/office/drawing/2014/main" id="{17520F0B-4E55-BE4D-193C-1B5F1013BB48}"/>
              </a:ext>
            </a:extLst>
          </xdr:cNvPr>
          <xdr:cNvSpPr txBox="1"/>
        </xdr:nvSpPr>
        <xdr:spPr>
          <a:xfrm>
            <a:off x="2057400" y="1009650"/>
            <a:ext cx="19145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$137348768</a:t>
            </a:r>
            <a:r>
              <a:rPr lang="en-IN" sz="1050">
                <a:effectLst/>
              </a:rPr>
              <a:t> </a:t>
            </a:r>
            <a:endParaRPr lang="en-IN" sz="1050"/>
          </a:p>
        </xdr:txBody>
      </xdr:sp>
    </xdr:grpSp>
    <xdr:clientData/>
  </xdr:twoCellAnchor>
  <xdr:twoCellAnchor>
    <xdr:from>
      <xdr:col>9</xdr:col>
      <xdr:colOff>561975</xdr:colOff>
      <xdr:row>3</xdr:row>
      <xdr:rowOff>76200</xdr:rowOff>
    </xdr:from>
    <xdr:to>
      <xdr:col>13</xdr:col>
      <xdr:colOff>190500</xdr:colOff>
      <xdr:row>8</xdr:row>
      <xdr:rowOff>76200</xdr:rowOff>
    </xdr:to>
    <xdr:grpSp>
      <xdr:nvGrpSpPr>
        <xdr:cNvPr id="31" name="Group 30">
          <a:extLst>
            <a:ext uri="{FF2B5EF4-FFF2-40B4-BE49-F238E27FC236}">
              <a16:creationId xmlns:a16="http://schemas.microsoft.com/office/drawing/2014/main" id="{CC244DA7-3615-4E29-AB88-67280FD7CA53}"/>
            </a:ext>
          </a:extLst>
        </xdr:cNvPr>
        <xdr:cNvGrpSpPr/>
      </xdr:nvGrpSpPr>
      <xdr:grpSpPr>
        <a:xfrm>
          <a:off x="6048375" y="647700"/>
          <a:ext cx="2066925" cy="952500"/>
          <a:chOff x="2047875" y="647700"/>
          <a:chExt cx="2066925" cy="952500"/>
        </a:xfrm>
      </xdr:grpSpPr>
      <xdr:sp macro="" textlink="">
        <xdr:nvSpPr>
          <xdr:cNvPr id="32" name="Rectangle: Rounded Corners 31">
            <a:extLst>
              <a:ext uri="{FF2B5EF4-FFF2-40B4-BE49-F238E27FC236}">
                <a16:creationId xmlns:a16="http://schemas.microsoft.com/office/drawing/2014/main" id="{F3E1DE55-E269-0981-0D3F-8AE6598B79A8}"/>
              </a:ext>
            </a:extLst>
          </xdr:cNvPr>
          <xdr:cNvSpPr/>
        </xdr:nvSpPr>
        <xdr:spPr>
          <a:xfrm>
            <a:off x="2047875" y="647700"/>
            <a:ext cx="1933575" cy="9525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0380D8E2-DC78-ED14-2ABF-404C6FF19EBC}"/>
              </a:ext>
            </a:extLst>
          </xdr:cNvPr>
          <xdr:cNvSpPr txBox="1"/>
        </xdr:nvSpPr>
        <xdr:spPr>
          <a:xfrm>
            <a:off x="2124075" y="704850"/>
            <a:ext cx="1781175" cy="285750"/>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 Cost</a:t>
            </a:r>
            <a:endParaRPr lang="en-IN" sz="1100" b="1">
              <a:solidFill>
                <a:schemeClr val="tx1"/>
              </a:solidFill>
            </a:endParaRPr>
          </a:p>
        </xdr:txBody>
      </xdr:sp>
      <xdr:sp macro="" textlink="">
        <xdr:nvSpPr>
          <xdr:cNvPr id="34" name="TextBox 33">
            <a:extLst>
              <a:ext uri="{FF2B5EF4-FFF2-40B4-BE49-F238E27FC236}">
                <a16:creationId xmlns:a16="http://schemas.microsoft.com/office/drawing/2014/main" id="{8E154665-9F9F-8D98-B79A-E3AB4A5A982C}"/>
              </a:ext>
            </a:extLst>
          </xdr:cNvPr>
          <xdr:cNvSpPr txBox="1"/>
        </xdr:nvSpPr>
        <xdr:spPr>
          <a:xfrm>
            <a:off x="2133600" y="990600"/>
            <a:ext cx="19812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$93180569</a:t>
            </a:r>
            <a:r>
              <a:rPr lang="en-IN">
                <a:effectLst/>
              </a:rPr>
              <a:t> </a:t>
            </a:r>
            <a:endParaRPr lang="en-IN" sz="1100"/>
          </a:p>
        </xdr:txBody>
      </xdr:sp>
    </xdr:grpSp>
    <xdr:clientData/>
  </xdr:twoCellAnchor>
  <xdr:twoCellAnchor>
    <xdr:from>
      <xdr:col>13</xdr:col>
      <xdr:colOff>85725</xdr:colOff>
      <xdr:row>3</xdr:row>
      <xdr:rowOff>76200</xdr:rowOff>
    </xdr:from>
    <xdr:to>
      <xdr:col>16</xdr:col>
      <xdr:colOff>209551</xdr:colOff>
      <xdr:row>8</xdr:row>
      <xdr:rowOff>76200</xdr:rowOff>
    </xdr:to>
    <xdr:grpSp>
      <xdr:nvGrpSpPr>
        <xdr:cNvPr id="35" name="Group 34">
          <a:extLst>
            <a:ext uri="{FF2B5EF4-FFF2-40B4-BE49-F238E27FC236}">
              <a16:creationId xmlns:a16="http://schemas.microsoft.com/office/drawing/2014/main" id="{3D5D7A4B-F707-41AC-96E8-E5E74A6D566D}"/>
            </a:ext>
          </a:extLst>
        </xdr:cNvPr>
        <xdr:cNvGrpSpPr/>
      </xdr:nvGrpSpPr>
      <xdr:grpSpPr>
        <a:xfrm>
          <a:off x="8010525" y="647700"/>
          <a:ext cx="1952626" cy="952500"/>
          <a:chOff x="2047875" y="647700"/>
          <a:chExt cx="1952626" cy="952500"/>
        </a:xfrm>
      </xdr:grpSpPr>
      <xdr:sp macro="" textlink="">
        <xdr:nvSpPr>
          <xdr:cNvPr id="36" name="Rectangle: Rounded Corners 35">
            <a:extLst>
              <a:ext uri="{FF2B5EF4-FFF2-40B4-BE49-F238E27FC236}">
                <a16:creationId xmlns:a16="http://schemas.microsoft.com/office/drawing/2014/main" id="{EB3CCE3A-9E85-8AC7-6607-495821AEC1AF}"/>
              </a:ext>
            </a:extLst>
          </xdr:cNvPr>
          <xdr:cNvSpPr/>
        </xdr:nvSpPr>
        <xdr:spPr>
          <a:xfrm>
            <a:off x="2047875" y="647700"/>
            <a:ext cx="1933575" cy="9525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4F442068-2A14-5B41-0ECE-2199C020BEA2}"/>
              </a:ext>
            </a:extLst>
          </xdr:cNvPr>
          <xdr:cNvSpPr txBox="1"/>
        </xdr:nvSpPr>
        <xdr:spPr>
          <a:xfrm>
            <a:off x="2124075" y="714375"/>
            <a:ext cx="1781175" cy="285750"/>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 Profit</a:t>
            </a:r>
            <a:endParaRPr lang="en-IN" sz="1100" b="1">
              <a:solidFill>
                <a:schemeClr val="tx1"/>
              </a:solidFill>
            </a:endParaRPr>
          </a:p>
        </xdr:txBody>
      </xdr:sp>
      <xdr:sp macro="" textlink="">
        <xdr:nvSpPr>
          <xdr:cNvPr id="38" name="TextBox 37">
            <a:extLst>
              <a:ext uri="{FF2B5EF4-FFF2-40B4-BE49-F238E27FC236}">
                <a16:creationId xmlns:a16="http://schemas.microsoft.com/office/drawing/2014/main" id="{47089BA3-C0AA-0979-266C-1A0DC5D2D44E}"/>
              </a:ext>
            </a:extLst>
          </xdr:cNvPr>
          <xdr:cNvSpPr txBox="1"/>
        </xdr:nvSpPr>
        <xdr:spPr>
          <a:xfrm>
            <a:off x="2114551" y="971550"/>
            <a:ext cx="1885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$44168198</a:t>
            </a:r>
            <a:endParaRPr lang="en-IN" sz="1100"/>
          </a:p>
        </xdr:txBody>
      </xdr:sp>
    </xdr:grpSp>
    <xdr:clientData/>
  </xdr:twoCellAnchor>
  <xdr:twoCellAnchor>
    <xdr:from>
      <xdr:col>16</xdr:col>
      <xdr:colOff>228601</xdr:colOff>
      <xdr:row>3</xdr:row>
      <xdr:rowOff>114302</xdr:rowOff>
    </xdr:from>
    <xdr:to>
      <xdr:col>20</xdr:col>
      <xdr:colOff>304800</xdr:colOff>
      <xdr:row>14</xdr:row>
      <xdr:rowOff>66676</xdr:rowOff>
    </xdr:to>
    <xdr:graphicFrame macro="">
      <xdr:nvGraphicFramePr>
        <xdr:cNvPr id="39" name="Chart 38">
          <a:extLst>
            <a:ext uri="{FF2B5EF4-FFF2-40B4-BE49-F238E27FC236}">
              <a16:creationId xmlns:a16="http://schemas.microsoft.com/office/drawing/2014/main" id="{BB5884D5-819B-449D-9188-143833C3E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304800</xdr:colOff>
      <xdr:row>8</xdr:row>
      <xdr:rowOff>133350</xdr:rowOff>
    </xdr:from>
    <xdr:to>
      <xdr:col>9</xdr:col>
      <xdr:colOff>352425</xdr:colOff>
      <xdr:row>21</xdr:row>
      <xdr:rowOff>47625</xdr:rowOff>
    </xdr:to>
    <xdr:graphicFrame macro="">
      <xdr:nvGraphicFramePr>
        <xdr:cNvPr id="40" name="Chart 39">
          <a:extLst>
            <a:ext uri="{FF2B5EF4-FFF2-40B4-BE49-F238E27FC236}">
              <a16:creationId xmlns:a16="http://schemas.microsoft.com/office/drawing/2014/main" id="{D8FD625B-658A-4106-AF49-107A7F2F5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390525</xdr:colOff>
      <xdr:row>8</xdr:row>
      <xdr:rowOff>142875</xdr:rowOff>
    </xdr:from>
    <xdr:to>
      <xdr:col>16</xdr:col>
      <xdr:colOff>171450</xdr:colOff>
      <xdr:row>21</xdr:row>
      <xdr:rowOff>28575</xdr:rowOff>
    </xdr:to>
    <xdr:graphicFrame macro="">
      <xdr:nvGraphicFramePr>
        <xdr:cNvPr id="41" name="Chart 40">
          <a:extLst>
            <a:ext uri="{FF2B5EF4-FFF2-40B4-BE49-F238E27FC236}">
              <a16:creationId xmlns:a16="http://schemas.microsoft.com/office/drawing/2014/main" id="{55E7AD6E-E10E-4EBD-8C4C-51704DDC5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238125</xdr:colOff>
      <xdr:row>14</xdr:row>
      <xdr:rowOff>123826</xdr:rowOff>
    </xdr:from>
    <xdr:to>
      <xdr:col>20</xdr:col>
      <xdr:colOff>257175</xdr:colOff>
      <xdr:row>20</xdr:row>
      <xdr:rowOff>161925</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B1C382AF-D5F7-42CF-A6AD-1E9C97E7FA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91725" y="2790826"/>
              <a:ext cx="245745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3</xdr:row>
      <xdr:rowOff>76201</xdr:rowOff>
    </xdr:from>
    <xdr:to>
      <xdr:col>3</xdr:col>
      <xdr:colOff>180975</xdr:colOff>
      <xdr:row>13</xdr:row>
      <xdr:rowOff>28575</xdr:rowOff>
    </xdr:to>
    <mc:AlternateContent xmlns:mc="http://schemas.openxmlformats.org/markup-compatibility/2006">
      <mc:Choice xmlns:a14="http://schemas.microsoft.com/office/drawing/2010/main" Requires="a14">
        <xdr:graphicFrame macro="">
          <xdr:nvGraphicFramePr>
            <xdr:cNvPr id="47" name="Item Type 1">
              <a:extLst>
                <a:ext uri="{FF2B5EF4-FFF2-40B4-BE49-F238E27FC236}">
                  <a16:creationId xmlns:a16="http://schemas.microsoft.com/office/drawing/2014/main" id="{B288E04B-DA80-4150-92D5-461EBC1B572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0975" y="647701"/>
              <a:ext cx="1828800" cy="1857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190499</xdr:colOff>
      <xdr:row>13</xdr:row>
      <xdr:rowOff>142875</xdr:rowOff>
    </xdr:from>
    <xdr:to>
      <xdr:col>3</xdr:col>
      <xdr:colOff>190499</xdr:colOff>
      <xdr:row>20</xdr:row>
      <xdr:rowOff>152400</xdr:rowOff>
    </xdr:to>
    <mc:AlternateContent xmlns:mc="http://schemas.openxmlformats.org/markup-compatibility/2006">
      <mc:Choice xmlns:sle15="http://schemas.microsoft.com/office/drawing/2012/slicer" Requires="sle15">
        <xdr:graphicFrame macro="">
          <xdr:nvGraphicFramePr>
            <xdr:cNvPr id="48" name="Year">
              <a:extLst>
                <a:ext uri="{FF2B5EF4-FFF2-40B4-BE49-F238E27FC236}">
                  <a16:creationId xmlns:a16="http://schemas.microsoft.com/office/drawing/2014/main" id="{C8866E67-0B14-445F-B890-F9E9A550E1D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0499" y="2619375"/>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440812962966" backgroundQuery="1" createdVersion="8" refreshedVersion="8" minRefreshableVersion="3" recordCount="0" supportSubquery="1" supportAdvancedDrill="1" xr:uid="{4AFACB5F-8D5B-4CE9-898B-D7D2AF2883C9}">
  <cacheSource type="external" connectionId="2"/>
  <cacheFields count="2">
    <cacheField name="[AmazonSalesData].[Region].[Region]" caption="Region" numFmtId="0" level="1">
      <sharedItems count="7">
        <s v="Asia"/>
        <s v="Australia and Oceania"/>
        <s v="Central America and the Caribbean"/>
        <s v="Europe"/>
        <s v="Middle East and North Africa"/>
        <s v="North America"/>
        <s v="Sub-Saharan Africa"/>
      </sharedItems>
    </cacheField>
    <cacheField name="[Measures].[Sum of Total Revenue]" caption="Sum of Total Revenue" numFmtId="0" hierarchy="16" level="32767"/>
  </cacheFields>
  <cacheHierarchies count="24">
    <cacheHierarchy uniqueName="[AmazonSalesData].[Region]" caption="Region" attribute="1" defaultMemberUniqueName="[AmazonSalesData].[Region].[All]" allUniqueName="[AmazonSalesData].[Region].[All]" dimensionUniqueName="[AmazonSalesData]" displayFolder="" count="2" memberValueDatatype="130" unbalanced="0">
      <fieldsUsage count="2">
        <fieldUsage x="-1"/>
        <fieldUsage x="0"/>
      </fieldsUsage>
    </cacheHierarchy>
    <cacheHierarchy uniqueName="[AmazonSalesData].[Country]" caption="Country" attribute="1" defaultMemberUniqueName="[AmazonSalesData].[Country].[All]" allUniqueName="[AmazonSalesData].[Country].[All]" dimensionUniqueName="[AmazonSalesData]" displayFolder="" count="2" memberValueDatatype="130" unbalanced="0"/>
    <cacheHierarchy uniqueName="[AmazonSalesData].[Item Type]" caption="Item Type" attribute="1" defaultMemberUniqueName="[AmazonSalesData].[Item Type].[All]" allUniqueName="[AmazonSalesData].[Item Type].[All]" dimensionUniqueName="[AmazonSalesData]" displayFolder="" count="2" memberValueDatatype="130" unbalanced="0"/>
    <cacheHierarchy uniqueName="[AmazonSalesData].[Sales Channel]" caption="Sales Channel" attribute="1" defaultMemberUniqueName="[AmazonSalesData].[Sales Channel].[All]" allUniqueName="[AmazonSalesData].[Sales Channel].[All]" dimensionUniqueName="[AmazonSalesData]" displayFolder="" count="2" memberValueDatatype="130" unbalanced="0"/>
    <cacheHierarchy uniqueName="[AmazonSalesData].[Order Priority]" caption="Order Priority" attribute="1" defaultMemberUniqueName="[AmazonSalesData].[Order Priority].[All]" allUniqueName="[AmazonSalesData].[Order Priority].[All]" dimensionUniqueName="[AmazonSalesData]" displayFolder="" count="2" memberValueDatatype="130" unbalanced="0"/>
    <cacheHierarchy uniqueName="[AmazonSalesData].[Order Date]" caption="Order Date" attribute="1" defaultMemberUniqueName="[AmazonSalesData].[Order Date].[All]" allUniqueName="[AmazonSalesData].[Order Date].[All]" dimensionUniqueName="[AmazonSalesData]" displayFolder="" count="2" memberValueDatatype="130" unbalanced="0"/>
    <cacheHierarchy uniqueName="[AmazonSalesData].[Order ID]" caption="Order ID" attribute="1" defaultMemberUniqueName="[AmazonSalesData].[Order ID].[All]" allUniqueName="[AmazonSalesData].[Order ID].[All]" dimensionUniqueName="[AmazonSalesData]" displayFolder="" count="2" memberValueDatatype="20" unbalanced="0"/>
    <cacheHierarchy uniqueName="[AmazonSalesData].[Ship Date]" caption="Ship Date" attribute="1" defaultMemberUniqueName="[AmazonSalesData].[Ship Date].[All]" allUniqueName="[AmazonSalesData].[Ship Date].[All]" dimensionUniqueName="[AmazonSalesData]" displayFolder="" count="2" memberValueDatatype="130" unbalanced="0"/>
    <cacheHierarchy uniqueName="[AmazonSalesData].[Units Sold]" caption="Units Sold" attribute="1" defaultMemberUniqueName="[AmazonSalesData].[Units Sold].[All]" allUniqueName="[AmazonSalesData].[Units Sold].[All]" dimensionUniqueName="[AmazonSalesData]" displayFolder="" count="2" memberValueDatatype="20" unbalanced="0"/>
    <cacheHierarchy uniqueName="[AmazonSalesData].[Unit Price]" caption="Unit Price" attribute="1" defaultMemberUniqueName="[AmazonSalesData].[Unit Price].[All]" allUniqueName="[AmazonSalesData].[Unit Price].[All]" dimensionUniqueName="[AmazonSalesData]" displayFolder="" count="2" memberValueDatatype="5" unbalanced="0"/>
    <cacheHierarchy uniqueName="[AmazonSalesData].[Unit Cost]" caption="Unit Cost" attribute="1" defaultMemberUniqueName="[AmazonSalesData].[Unit Cost].[All]" allUniqueName="[AmazonSalesData].[Unit Cost].[All]" dimensionUniqueName="[AmazonSalesData]" displayFolder="" count="2" memberValueDatatype="5" unbalanced="0"/>
    <cacheHierarchy uniqueName="[AmazonSalesData].[Total Revenue]" caption="Total Revenue" attribute="1" defaultMemberUniqueName="[AmazonSalesData].[Total Revenue].[All]" allUniqueName="[AmazonSalesData].[Total Revenue].[All]" dimensionUniqueName="[AmazonSalesData]" displayFolder="" count="2" memberValueDatatype="5" unbalanced="0"/>
    <cacheHierarchy uniqueName="[AmazonSalesData].[Total Cost]" caption="Total Cost" attribute="1" defaultMemberUniqueName="[AmazonSalesData].[Total Cost].[All]" allUniqueName="[AmazonSalesData].[Total Cost].[All]" dimensionUniqueName="[AmazonSalesData]" displayFolder="" count="2" memberValueDatatype="5" unbalanced="0"/>
    <cacheHierarchy uniqueName="[AmazonSalesData].[Total Profit]" caption="Total Profit" attribute="1" defaultMemberUniqueName="[AmazonSalesData].[Total Profit].[All]" allUniqueName="[AmazonSalesData].[Total Profit].[All]" dimensionUniqueName="[AmazonSalesData]" displayFolder="" count="2" memberValueDatatype="5" unbalanced="0"/>
    <cacheHierarchy uniqueName="[Measures].[__XL_Count AmazonSalesData]" caption="__XL_Count AmazonSalesData" measure="1" displayFolder="" measureGroup="AmazonSalesData" count="0" hidden="1"/>
    <cacheHierarchy uniqueName="[Measures].[__No measures defined]" caption="__No measures defined" measure="1" displayFolder="" count="0" hidden="1"/>
    <cacheHierarchy uniqueName="[Measures].[Sum of Total Revenue]" caption="Sum of Total Revenue" measure="1" displayFolder="" measureGroup="AmazonSales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AmazonSalesData" count="0" hidden="1">
      <extLst>
        <ext xmlns:x15="http://schemas.microsoft.com/office/spreadsheetml/2010/11/main" uri="{B97F6D7D-B522-45F9-BDA1-12C45D357490}">
          <x15:cacheHierarchy aggregatedColumn="13"/>
        </ext>
      </extLst>
    </cacheHierarchy>
    <cacheHierarchy uniqueName="[Measures].[Count of Item Type]" caption="Count of Item Type" measure="1" displayFolder="" measureGroup="AmazonSalesData" count="0" hidden="1">
      <extLst>
        <ext xmlns:x15="http://schemas.microsoft.com/office/spreadsheetml/2010/11/main" uri="{B97F6D7D-B522-45F9-BDA1-12C45D357490}">
          <x15:cacheHierarchy aggregatedColumn="2"/>
        </ext>
      </extLst>
    </cacheHierarchy>
    <cacheHierarchy uniqueName="[Measures].[Count of Sales Channel]" caption="Count of Sales Channel" measure="1" displayFolder="" measureGroup="AmazonSalesData"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AmazonSalesData"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Distinct Count of Region]" caption="Distinct 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Sum of Total Cost]" caption="Sum of Total Cost" measure="1" displayFolder="" measureGroup="AmazonSalesData" count="0" hidden="1">
      <extLst>
        <ext xmlns:x15="http://schemas.microsoft.com/office/spreadsheetml/2010/11/main" uri="{B97F6D7D-B522-45F9-BDA1-12C45D357490}">
          <x15:cacheHierarchy aggregatedColumn="12"/>
        </ext>
      </extLst>
    </cacheHierarchy>
  </cacheHierarchies>
  <kpis count="0"/>
  <dimensions count="2">
    <dimension name="AmazonSalesData" uniqueName="[AmazonSalesData]" caption="AmazonSalesData"/>
    <dimension measure="1" name="Measures" uniqueName="[Measures]" caption="Measures"/>
  </dimensions>
  <measureGroups count="1">
    <measureGroup name="AmazonSalesData" caption="AmazonSale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440813773152" backgroundQuery="1" createdVersion="8" refreshedVersion="8" minRefreshableVersion="3" recordCount="0" supportSubquery="1" supportAdvancedDrill="1" xr:uid="{4DC734CC-E79B-487F-8BE4-5B16A8304115}">
  <cacheSource type="external" connectionId="2"/>
  <cacheFields count="3">
    <cacheField name="[Measures].[Sum of Total Cost]" caption="Sum of Total Cost" numFmtId="0" hierarchy="23" level="32767"/>
    <cacheField name="[Measures].[Sum of Total Profit]" caption="Sum of Total Profit" numFmtId="0" hierarchy="17" level="32767"/>
    <cacheField name="[AmazonSalesData].[Region].[Region]" caption="Region" numFmtId="0" level="1">
      <sharedItems count="7">
        <s v="Asia"/>
        <s v="Australia and Oceania"/>
        <s v="Central America and the Caribbean"/>
        <s v="Europe"/>
        <s v="Middle East and North Africa"/>
        <s v="North America"/>
        <s v="Sub-Saharan Africa"/>
      </sharedItems>
    </cacheField>
  </cacheFields>
  <cacheHierarchies count="24">
    <cacheHierarchy uniqueName="[AmazonSalesData].[Region]" caption="Region" attribute="1" defaultMemberUniqueName="[AmazonSalesData].[Region].[All]" allUniqueName="[AmazonSalesData].[Region].[All]" dimensionUniqueName="[AmazonSalesData]" displayFolder="" count="2" memberValueDatatype="130" unbalanced="0">
      <fieldsUsage count="2">
        <fieldUsage x="-1"/>
        <fieldUsage x="2"/>
      </fieldsUsage>
    </cacheHierarchy>
    <cacheHierarchy uniqueName="[AmazonSalesData].[Country]" caption="Country" attribute="1" defaultMemberUniqueName="[AmazonSalesData].[Country].[All]" allUniqueName="[AmazonSalesData].[Country].[All]" dimensionUniqueName="[AmazonSalesData]" displayFolder="" count="2" memberValueDatatype="130" unbalanced="0"/>
    <cacheHierarchy uniqueName="[AmazonSalesData].[Item Type]" caption="Item Type" attribute="1" defaultMemberUniqueName="[AmazonSalesData].[Item Type].[All]" allUniqueName="[AmazonSalesData].[Item Type].[All]" dimensionUniqueName="[AmazonSalesData]" displayFolder="" count="2" memberValueDatatype="130" unbalanced="0"/>
    <cacheHierarchy uniqueName="[AmazonSalesData].[Sales Channel]" caption="Sales Channel" attribute="1" defaultMemberUniqueName="[AmazonSalesData].[Sales Channel].[All]" allUniqueName="[AmazonSalesData].[Sales Channel].[All]" dimensionUniqueName="[AmazonSalesData]" displayFolder="" count="2" memberValueDatatype="130" unbalanced="0"/>
    <cacheHierarchy uniqueName="[AmazonSalesData].[Order Priority]" caption="Order Priority" attribute="1" defaultMemberUniqueName="[AmazonSalesData].[Order Priority].[All]" allUniqueName="[AmazonSalesData].[Order Priority].[All]" dimensionUniqueName="[AmazonSalesData]" displayFolder="" count="2" memberValueDatatype="130" unbalanced="0"/>
    <cacheHierarchy uniqueName="[AmazonSalesData].[Order Date]" caption="Order Date" attribute="1" defaultMemberUniqueName="[AmazonSalesData].[Order Date].[All]" allUniqueName="[AmazonSalesData].[Order Date].[All]" dimensionUniqueName="[AmazonSalesData]" displayFolder="" count="2" memberValueDatatype="130" unbalanced="0"/>
    <cacheHierarchy uniqueName="[AmazonSalesData].[Order ID]" caption="Order ID" attribute="1" defaultMemberUniqueName="[AmazonSalesData].[Order ID].[All]" allUniqueName="[AmazonSalesData].[Order ID].[All]" dimensionUniqueName="[AmazonSalesData]" displayFolder="" count="2" memberValueDatatype="20" unbalanced="0"/>
    <cacheHierarchy uniqueName="[AmazonSalesData].[Ship Date]" caption="Ship Date" attribute="1" defaultMemberUniqueName="[AmazonSalesData].[Ship Date].[All]" allUniqueName="[AmazonSalesData].[Ship Date].[All]" dimensionUniqueName="[AmazonSalesData]" displayFolder="" count="2" memberValueDatatype="130" unbalanced="0"/>
    <cacheHierarchy uniqueName="[AmazonSalesData].[Units Sold]" caption="Units Sold" attribute="1" defaultMemberUniqueName="[AmazonSalesData].[Units Sold].[All]" allUniqueName="[AmazonSalesData].[Units Sold].[All]" dimensionUniqueName="[AmazonSalesData]" displayFolder="" count="2" memberValueDatatype="20" unbalanced="0"/>
    <cacheHierarchy uniqueName="[AmazonSalesData].[Unit Price]" caption="Unit Price" attribute="1" defaultMemberUniqueName="[AmazonSalesData].[Unit Price].[All]" allUniqueName="[AmazonSalesData].[Unit Price].[All]" dimensionUniqueName="[AmazonSalesData]" displayFolder="" count="2" memberValueDatatype="5" unbalanced="0"/>
    <cacheHierarchy uniqueName="[AmazonSalesData].[Unit Cost]" caption="Unit Cost" attribute="1" defaultMemberUniqueName="[AmazonSalesData].[Unit Cost].[All]" allUniqueName="[AmazonSalesData].[Unit Cost].[All]" dimensionUniqueName="[AmazonSalesData]" displayFolder="" count="2" memberValueDatatype="5" unbalanced="0"/>
    <cacheHierarchy uniqueName="[AmazonSalesData].[Total Revenue]" caption="Total Revenue" attribute="1" defaultMemberUniqueName="[AmazonSalesData].[Total Revenue].[All]" allUniqueName="[AmazonSalesData].[Total Revenue].[All]" dimensionUniqueName="[AmazonSalesData]" displayFolder="" count="2" memberValueDatatype="5" unbalanced="0"/>
    <cacheHierarchy uniqueName="[AmazonSalesData].[Total Cost]" caption="Total Cost" attribute="1" defaultMemberUniqueName="[AmazonSalesData].[Total Cost].[All]" allUniqueName="[AmazonSalesData].[Total Cost].[All]" dimensionUniqueName="[AmazonSalesData]" displayFolder="" count="2" memberValueDatatype="5" unbalanced="0"/>
    <cacheHierarchy uniqueName="[AmazonSalesData].[Total Profit]" caption="Total Profit" attribute="1" defaultMemberUniqueName="[AmazonSalesData].[Total Profit].[All]" allUniqueName="[AmazonSalesData].[Total Profit].[All]" dimensionUniqueName="[AmazonSalesData]" displayFolder="" count="2" memberValueDatatype="5" unbalanced="0"/>
    <cacheHierarchy uniqueName="[Measures].[__XL_Count AmazonSalesData]" caption="__XL_Count AmazonSalesData" measure="1" displayFolder="" measureGroup="AmazonSalesData" count="0" hidden="1"/>
    <cacheHierarchy uniqueName="[Measures].[__No measures defined]" caption="__No measures defined" measure="1" displayFolder="" count="0" hidden="1"/>
    <cacheHierarchy uniqueName="[Measures].[Sum of Total Revenue]" caption="Sum of Total Revenue" measure="1" displayFolder="" measureGroup="AmazonSales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Amazon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Item Type]" caption="Count of Item Type" measure="1" displayFolder="" measureGroup="AmazonSalesData" count="0" hidden="1">
      <extLst>
        <ext xmlns:x15="http://schemas.microsoft.com/office/spreadsheetml/2010/11/main" uri="{B97F6D7D-B522-45F9-BDA1-12C45D357490}">
          <x15:cacheHierarchy aggregatedColumn="2"/>
        </ext>
      </extLst>
    </cacheHierarchy>
    <cacheHierarchy uniqueName="[Measures].[Count of Sales Channel]" caption="Count of Sales Channel" measure="1" displayFolder="" measureGroup="AmazonSalesData"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AmazonSalesData"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Distinct Count of Region]" caption="Distinct 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Sum of Total Cost]" caption="Sum of Total Cost" measure="1" displayFolder="" measureGroup="AmazonSales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AmazonSalesData" uniqueName="[AmazonSalesData]" caption="AmazonSalesData"/>
    <dimension measure="1" name="Measures" uniqueName="[Measures]" caption="Measures"/>
  </dimensions>
  <measureGroups count="1">
    <measureGroup name="AmazonSalesData" caption="AmazonSale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440814814814" backgroundQuery="1" createdVersion="8" refreshedVersion="8" minRefreshableVersion="3" recordCount="0" supportSubquery="1" supportAdvancedDrill="1" xr:uid="{1B766675-27A1-4FB6-8DB7-E4C4F570A475}">
  <cacheSource type="external" connectionId="2"/>
  <cacheFields count="4">
    <cacheField name="[Measures].[Sum of Total Profit]" caption="Sum of Total Profit" numFmtId="0" hierarchy="17" level="32767"/>
    <cacheField name="[Measures].[Distinct Count of Region]" caption="Distinct Count of Region" numFmtId="0" hierarchy="22" level="32767"/>
    <cacheField name="[AmazonSalesData].[Item Type].[Item Type]" caption="Item Type" numFmtId="0" hierarchy="2" level="1">
      <sharedItems count="12">
        <s v="Baby Food"/>
        <s v="Beverages"/>
        <s v="Cereal"/>
        <s v="Clothes"/>
        <s v="Cosmetics"/>
        <s v="Fruits"/>
        <s v="Household"/>
        <s v="Meat"/>
        <s v="Office Supplies"/>
        <s v="Personal Care"/>
        <s v="Snacks"/>
        <s v="Vegetables"/>
      </sharedItems>
    </cacheField>
    <cacheField name="[AmazonSalesData].[Region].[Region]" caption="Region" numFmtId="0" level="1">
      <sharedItems containsSemiMixedTypes="0" containsNonDate="0" containsString="0"/>
    </cacheField>
  </cacheFields>
  <cacheHierarchies count="24">
    <cacheHierarchy uniqueName="[AmazonSalesData].[Region]" caption="Region" attribute="1" defaultMemberUniqueName="[AmazonSalesData].[Region].[All]" allUniqueName="[AmazonSalesData].[Region].[All]" dimensionUniqueName="[AmazonSalesData]" displayFolder="" count="2" memberValueDatatype="130" unbalanced="0">
      <fieldsUsage count="2">
        <fieldUsage x="-1"/>
        <fieldUsage x="3"/>
      </fieldsUsage>
    </cacheHierarchy>
    <cacheHierarchy uniqueName="[AmazonSalesData].[Country]" caption="Country" attribute="1" defaultMemberUniqueName="[AmazonSalesData].[Country].[All]" allUniqueName="[AmazonSalesData].[Country].[All]" dimensionUniqueName="[AmazonSalesData]" displayFolder="" count="2" memberValueDatatype="130" unbalanced="0"/>
    <cacheHierarchy uniqueName="[AmazonSalesData].[Item Type]" caption="Item Type" attribute="1" defaultMemberUniqueName="[AmazonSalesData].[Item Type].[All]" allUniqueName="[AmazonSalesData].[Item Type].[All]" dimensionUniqueName="[AmazonSalesData]" displayFolder="" count="2" memberValueDatatype="130" unbalanced="0">
      <fieldsUsage count="2">
        <fieldUsage x="-1"/>
        <fieldUsage x="2"/>
      </fieldsUsage>
    </cacheHierarchy>
    <cacheHierarchy uniqueName="[AmazonSalesData].[Sales Channel]" caption="Sales Channel" attribute="1" defaultMemberUniqueName="[AmazonSalesData].[Sales Channel].[All]" allUniqueName="[AmazonSalesData].[Sales Channel].[All]" dimensionUniqueName="[AmazonSalesData]" displayFolder="" count="2" memberValueDatatype="130" unbalanced="0"/>
    <cacheHierarchy uniqueName="[AmazonSalesData].[Order Priority]" caption="Order Priority" attribute="1" defaultMemberUniqueName="[AmazonSalesData].[Order Priority].[All]" allUniqueName="[AmazonSalesData].[Order Priority].[All]" dimensionUniqueName="[AmazonSalesData]" displayFolder="" count="2" memberValueDatatype="130" unbalanced="0"/>
    <cacheHierarchy uniqueName="[AmazonSalesData].[Order Date]" caption="Order Date" attribute="1" defaultMemberUniqueName="[AmazonSalesData].[Order Date].[All]" allUniqueName="[AmazonSalesData].[Order Date].[All]" dimensionUniqueName="[AmazonSalesData]" displayFolder="" count="2" memberValueDatatype="130" unbalanced="0"/>
    <cacheHierarchy uniqueName="[AmazonSalesData].[Order ID]" caption="Order ID" attribute="1" defaultMemberUniqueName="[AmazonSalesData].[Order ID].[All]" allUniqueName="[AmazonSalesData].[Order ID].[All]" dimensionUniqueName="[AmazonSalesData]" displayFolder="" count="2" memberValueDatatype="20" unbalanced="0"/>
    <cacheHierarchy uniqueName="[AmazonSalesData].[Ship Date]" caption="Ship Date" attribute="1" defaultMemberUniqueName="[AmazonSalesData].[Ship Date].[All]" allUniqueName="[AmazonSalesData].[Ship Date].[All]" dimensionUniqueName="[AmazonSalesData]" displayFolder="" count="2" memberValueDatatype="130" unbalanced="0"/>
    <cacheHierarchy uniqueName="[AmazonSalesData].[Units Sold]" caption="Units Sold" attribute="1" defaultMemberUniqueName="[AmazonSalesData].[Units Sold].[All]" allUniqueName="[AmazonSalesData].[Units Sold].[All]" dimensionUniqueName="[AmazonSalesData]" displayFolder="" count="2" memberValueDatatype="20" unbalanced="0"/>
    <cacheHierarchy uniqueName="[AmazonSalesData].[Unit Price]" caption="Unit Price" attribute="1" defaultMemberUniqueName="[AmazonSalesData].[Unit Price].[All]" allUniqueName="[AmazonSalesData].[Unit Price].[All]" dimensionUniqueName="[AmazonSalesData]" displayFolder="" count="2" memberValueDatatype="5" unbalanced="0"/>
    <cacheHierarchy uniqueName="[AmazonSalesData].[Unit Cost]" caption="Unit Cost" attribute="1" defaultMemberUniqueName="[AmazonSalesData].[Unit Cost].[All]" allUniqueName="[AmazonSalesData].[Unit Cost].[All]" dimensionUniqueName="[AmazonSalesData]" displayFolder="" count="2" memberValueDatatype="5" unbalanced="0"/>
    <cacheHierarchy uniqueName="[AmazonSalesData].[Total Revenue]" caption="Total Revenue" attribute="1" defaultMemberUniqueName="[AmazonSalesData].[Total Revenue].[All]" allUniqueName="[AmazonSalesData].[Total Revenue].[All]" dimensionUniqueName="[AmazonSalesData]" displayFolder="" count="2" memberValueDatatype="5" unbalanced="0"/>
    <cacheHierarchy uniqueName="[AmazonSalesData].[Total Cost]" caption="Total Cost" attribute="1" defaultMemberUniqueName="[AmazonSalesData].[Total Cost].[All]" allUniqueName="[AmazonSalesData].[Total Cost].[All]" dimensionUniqueName="[AmazonSalesData]" displayFolder="" count="2" memberValueDatatype="5" unbalanced="0"/>
    <cacheHierarchy uniqueName="[AmazonSalesData].[Total Profit]" caption="Total Profit" attribute="1" defaultMemberUniqueName="[AmazonSalesData].[Total Profit].[All]" allUniqueName="[AmazonSalesData].[Total Profit].[All]" dimensionUniqueName="[AmazonSalesData]" displayFolder="" count="2" memberValueDatatype="5" unbalanced="0"/>
    <cacheHierarchy uniqueName="[Measures].[__XL_Count AmazonSalesData]" caption="__XL_Count AmazonSalesData" measure="1" displayFolder="" measureGroup="AmazonSalesData" count="0" hidden="1"/>
    <cacheHierarchy uniqueName="[Measures].[__No measures defined]" caption="__No measures defined" measure="1" displayFolder="" count="0" hidden="1"/>
    <cacheHierarchy uniqueName="[Measures].[Sum of Total Revenue]" caption="Sum of Total Revenue" measure="1" displayFolder="" measureGroup="AmazonSales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Amazon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Item Type]" caption="Count of Item Type" measure="1" displayFolder="" measureGroup="AmazonSalesData" count="0" hidden="1">
      <extLst>
        <ext xmlns:x15="http://schemas.microsoft.com/office/spreadsheetml/2010/11/main" uri="{B97F6D7D-B522-45F9-BDA1-12C45D357490}">
          <x15:cacheHierarchy aggregatedColumn="2"/>
        </ext>
      </extLst>
    </cacheHierarchy>
    <cacheHierarchy uniqueName="[Measures].[Count of Sales Channel]" caption="Count of Sales Channel" measure="1" displayFolder="" measureGroup="AmazonSalesData"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AmazonSalesData"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Distinct Count of Region]" caption="Distinct Count of Region" measure="1" displayFolder="" measureGroup="AmazonSales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Cost]" caption="Sum of Total Cost" measure="1" displayFolder="" measureGroup="AmazonSalesData" count="0" hidden="1">
      <extLst>
        <ext xmlns:x15="http://schemas.microsoft.com/office/spreadsheetml/2010/11/main" uri="{B97F6D7D-B522-45F9-BDA1-12C45D357490}">
          <x15:cacheHierarchy aggregatedColumn="12"/>
        </ext>
      </extLst>
    </cacheHierarchy>
  </cacheHierarchies>
  <kpis count="0"/>
  <dimensions count="2">
    <dimension name="AmazonSalesData" uniqueName="[AmazonSalesData]" caption="AmazonSalesData"/>
    <dimension measure="1" name="Measures" uniqueName="[Measures]" caption="Measures"/>
  </dimensions>
  <measureGroups count="1">
    <measureGroup name="AmazonSalesData" caption="AmazonSale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432027546296" backgroundQuery="1" createdVersion="3" refreshedVersion="8" minRefreshableVersion="3" recordCount="0" supportSubquery="1" supportAdvancedDrill="1" xr:uid="{E776134B-89C0-4F95-8B0A-5AC9263A4E06}">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AmazonSalesData].[Region]" caption="Region" attribute="1" defaultMemberUniqueName="[AmazonSalesData].[Region].[All]" allUniqueName="[AmazonSalesData].[Region].[All]" dimensionUniqueName="[AmazonSalesData]" displayFolder="" count="2" memberValueDatatype="130" unbalanced="0"/>
    <cacheHierarchy uniqueName="[AmazonSalesData].[Country]" caption="Country" attribute="1" defaultMemberUniqueName="[AmazonSalesData].[Country].[All]" allUniqueName="[AmazonSalesData].[Country].[All]" dimensionUniqueName="[AmazonSalesData]" displayFolder="" count="0" memberValueDatatype="130" unbalanced="0"/>
    <cacheHierarchy uniqueName="[AmazonSalesData].[Item Type]" caption="Item Type" attribute="1" defaultMemberUniqueName="[AmazonSalesData].[Item Type].[All]" allUniqueName="[AmazonSalesData].[Item Type].[All]" dimensionUniqueName="[AmazonSalesData]" displayFolder="" count="2" memberValueDatatype="130" unbalanced="0"/>
    <cacheHierarchy uniqueName="[AmazonSalesData].[Sales Channel]" caption="Sales Channel" attribute="1" defaultMemberUniqueName="[AmazonSalesData].[Sales Channel].[All]" allUniqueName="[AmazonSalesData].[Sales Channel].[All]" dimensionUniqueName="[AmazonSalesData]" displayFolder="" count="0" memberValueDatatype="130" unbalanced="0"/>
    <cacheHierarchy uniqueName="[AmazonSalesData].[Order Priority]" caption="Order Priority" attribute="1" defaultMemberUniqueName="[AmazonSalesData].[Order Priority].[All]" allUniqueName="[AmazonSalesData].[Order Priority].[All]" dimensionUniqueName="[AmazonSalesData]" displayFolder="" count="0" memberValueDatatype="130" unbalanced="0"/>
    <cacheHierarchy uniqueName="[AmazonSalesData].[Order Date]" caption="Order Date" attribute="1" defaultMemberUniqueName="[AmazonSalesData].[Order Date].[All]" allUniqueName="[AmazonSalesData].[Order Date].[All]" dimensionUniqueName="[AmazonSalesData]" displayFolder="" count="0" memberValueDatatype="130" unbalanced="0"/>
    <cacheHierarchy uniqueName="[AmazonSalesData].[Order ID]" caption="Order ID" attribute="1" defaultMemberUniqueName="[AmazonSalesData].[Order ID].[All]" allUniqueName="[AmazonSalesData].[Order ID].[All]" dimensionUniqueName="[AmazonSalesData]" displayFolder="" count="2" memberValueDatatype="20" unbalanced="0"/>
    <cacheHierarchy uniqueName="[AmazonSalesData].[Ship Date]" caption="Ship Date" attribute="1" defaultMemberUniqueName="[AmazonSalesData].[Ship Date].[All]" allUniqueName="[AmazonSalesData].[Ship Date].[All]" dimensionUniqueName="[AmazonSalesData]" displayFolder="" count="0" memberValueDatatype="130" unbalanced="0"/>
    <cacheHierarchy uniqueName="[AmazonSalesData].[Units Sold]" caption="Units Sold" attribute="1" defaultMemberUniqueName="[AmazonSalesData].[Units Sold].[All]" allUniqueName="[AmazonSalesData].[Units Sold].[All]" dimensionUniqueName="[AmazonSalesData]" displayFolder="" count="0" memberValueDatatype="20" unbalanced="0"/>
    <cacheHierarchy uniqueName="[AmazonSalesData].[Unit Price]" caption="Unit Price" attribute="1" defaultMemberUniqueName="[AmazonSalesData].[Unit Price].[All]" allUniqueName="[AmazonSalesData].[Unit Price].[All]" dimensionUniqueName="[AmazonSalesData]" displayFolder="" count="0" memberValueDatatype="5" unbalanced="0"/>
    <cacheHierarchy uniqueName="[AmazonSalesData].[Unit Cost]" caption="Unit Cost" attribute="1" defaultMemberUniqueName="[AmazonSalesData].[Unit Cost].[All]" allUniqueName="[AmazonSalesData].[Unit Cost].[All]" dimensionUniqueName="[AmazonSalesData]" displayFolder="" count="0" memberValueDatatype="5" unbalanced="0"/>
    <cacheHierarchy uniqueName="[AmazonSalesData].[Total Revenue]" caption="Total Revenue" attribute="1" defaultMemberUniqueName="[AmazonSalesData].[Total Revenue].[All]" allUniqueName="[AmazonSalesData].[Total Revenue].[All]" dimensionUniqueName="[AmazonSalesData]" displayFolder="" count="0" memberValueDatatype="5" unbalanced="0"/>
    <cacheHierarchy uniqueName="[AmazonSalesData].[Total Cost]" caption="Total Cost" attribute="1" defaultMemberUniqueName="[AmazonSalesData].[Total Cost].[All]" allUniqueName="[AmazonSalesData].[Total Cost].[All]" dimensionUniqueName="[AmazonSalesData]" displayFolder="" count="2" memberValueDatatype="5" unbalanced="0"/>
    <cacheHierarchy uniqueName="[AmazonSalesData].[Total Profit]" caption="Total Profit" attribute="1" defaultMemberUniqueName="[AmazonSalesData].[Total Profit].[All]" allUniqueName="[AmazonSalesData].[Total Profit].[All]" dimensionUniqueName="[AmazonSalesData]" displayFolder="" count="2" memberValueDatatype="5" unbalanced="0"/>
    <cacheHierarchy uniqueName="[Measures].[__XL_Count AmazonSalesData]" caption="__XL_Count AmazonSalesData" measure="1" displayFolder="" measureGroup="AmazonSalesData" count="0" hidden="1"/>
    <cacheHierarchy uniqueName="[Measures].[__No measures defined]" caption="__No measures defined" measure="1" displayFolder="" count="0" hidden="1"/>
    <cacheHierarchy uniqueName="[Measures].[Sum of Total Revenue]" caption="Sum of Total Revenue" measure="1" displayFolder="" measureGroup="AmazonSales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AmazonSalesData" count="0" hidden="1">
      <extLst>
        <ext xmlns:x15="http://schemas.microsoft.com/office/spreadsheetml/2010/11/main" uri="{B97F6D7D-B522-45F9-BDA1-12C45D357490}">
          <x15:cacheHierarchy aggregatedColumn="13"/>
        </ext>
      </extLst>
    </cacheHierarchy>
    <cacheHierarchy uniqueName="[Measures].[Count of Item Type]" caption="Count of Item Type" measure="1" displayFolder="" measureGroup="AmazonSalesData" count="0" hidden="1">
      <extLst>
        <ext xmlns:x15="http://schemas.microsoft.com/office/spreadsheetml/2010/11/main" uri="{B97F6D7D-B522-45F9-BDA1-12C45D357490}">
          <x15:cacheHierarchy aggregatedColumn="2"/>
        </ext>
      </extLst>
    </cacheHierarchy>
    <cacheHierarchy uniqueName="[Measures].[Count of Sales Channel]" caption="Count of Sales Channel" measure="1" displayFolder="" measureGroup="AmazonSalesData"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AmazonSalesData"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Distinct Count of Region]" caption="Distinct Count of Region" measure="1" displayFolder="" measureGroup="AmazonSalesData" count="0" hidden="1">
      <extLst>
        <ext xmlns:x15="http://schemas.microsoft.com/office/spreadsheetml/2010/11/main" uri="{B97F6D7D-B522-45F9-BDA1-12C45D357490}">
          <x15:cacheHierarchy aggregatedColumn="0"/>
        </ext>
      </extLst>
    </cacheHierarchy>
    <cacheHierarchy uniqueName="[Measures].[Sum of Total Cost]" caption="Sum of Total Cost" measure="1" displayFolder="" measureGroup="AmazonSales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747139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CDA3D-A3C4-4B4E-9AAC-AD804D278479}" name="PivotTable2" cacheId="2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 Revenue" fld="1"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AmazonSalesData">
        <x15:activeTabTopLevelEntity name="[Amazon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34CBC-4A30-4C8F-AF19-F0921416827F}" name="PivotTable3" cacheId="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3:C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Profit" fld="0" baseField="0" baseItem="0"/>
    <dataField name="Distinct Count of Region" fld="1" subtotal="count" baseField="0" baseItem="0">
      <extLst>
        <ext xmlns:x15="http://schemas.microsoft.com/office/spreadsheetml/2010/11/main" uri="{FABC7310-3BB5-11E1-824E-6D434824019B}">
          <x15:dataField isCountDistinct="1"/>
        </ext>
      </extLst>
    </dataField>
  </dataFields>
  <formats count="1">
    <format dxfId="12">
      <pivotArea dataOnly="0" labelOnly="1" grandRow="1" outline="0" fieldPosition="0"/>
    </format>
  </formats>
  <chartFormats count="4">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s>
  <pivotHierarchies count="2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Region"/>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AmazonSalesData">
        <x15:activeTabTopLevelEntity name="[Amazon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202875-B6BE-4561-9771-942C8637E0F9}" name="PivotTable4"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1"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Total Cost" fld="0" baseField="0" baseItem="0"/>
    <dataField name="Sum of Total Profit" fld="1" baseField="0" baseItem="0"/>
  </dataFields>
  <chartFormats count="2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2" count="1" selected="0">
            <x v="1"/>
          </reference>
        </references>
      </pivotArea>
    </chartFormat>
    <chartFormat chart="4" format="3">
      <pivotArea type="data" outline="0" fieldPosition="0">
        <references count="2">
          <reference field="4294967294" count="1" selected="0">
            <x v="1"/>
          </reference>
          <reference field="2" count="1" selected="0">
            <x v="2"/>
          </reference>
        </references>
      </pivotArea>
    </chartFormat>
    <chartFormat chart="4" format="4">
      <pivotArea type="data" outline="0" fieldPosition="0">
        <references count="2">
          <reference field="4294967294" count="1" selected="0">
            <x v="1"/>
          </reference>
          <reference field="2" count="1" selected="0">
            <x v="3"/>
          </reference>
        </references>
      </pivotArea>
    </chartFormat>
    <chartFormat chart="4" format="5">
      <pivotArea type="data" outline="0" fieldPosition="0">
        <references count="2">
          <reference field="4294967294" count="1" selected="0">
            <x v="1"/>
          </reference>
          <reference field="2" count="1" selected="0">
            <x v="4"/>
          </reference>
        </references>
      </pivotArea>
    </chartFormat>
    <chartFormat chart="4" format="6">
      <pivotArea type="data" outline="0" fieldPosition="0">
        <references count="2">
          <reference field="4294967294" count="1" selected="0">
            <x v="1"/>
          </reference>
          <reference field="2" count="1" selected="0">
            <x v="5"/>
          </reference>
        </references>
      </pivotArea>
    </chartFormat>
    <chartFormat chart="4" format="7">
      <pivotArea type="data" outline="0" fieldPosition="0">
        <references count="2">
          <reference field="4294967294" count="1" selected="0">
            <x v="1"/>
          </reference>
          <reference field="2" count="1" selected="0">
            <x v="6"/>
          </reference>
        </references>
      </pivotArea>
    </chartFormat>
    <chartFormat chart="4" format="8">
      <pivotArea type="data" outline="0" fieldPosition="0">
        <references count="2">
          <reference field="4294967294" count="1" selected="0">
            <x v="1"/>
          </reference>
          <reference field="2" count="1" selected="0">
            <x v="0"/>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2" count="1" selected="0">
            <x v="0"/>
          </reference>
        </references>
      </pivotArea>
    </chartFormat>
    <chartFormat chart="8" format="27">
      <pivotArea type="data" outline="0" fieldPosition="0">
        <references count="2">
          <reference field="4294967294" count="1" selected="0">
            <x v="0"/>
          </reference>
          <reference field="2" count="1" selected="0">
            <x v="1"/>
          </reference>
        </references>
      </pivotArea>
    </chartFormat>
    <chartFormat chart="8" format="28">
      <pivotArea type="data" outline="0" fieldPosition="0">
        <references count="2">
          <reference field="4294967294" count="1" selected="0">
            <x v="0"/>
          </reference>
          <reference field="2" count="1" selected="0">
            <x v="2"/>
          </reference>
        </references>
      </pivotArea>
    </chartFormat>
    <chartFormat chart="8" format="29">
      <pivotArea type="data" outline="0" fieldPosition="0">
        <references count="2">
          <reference field="4294967294" count="1" selected="0">
            <x v="0"/>
          </reference>
          <reference field="2" count="1" selected="0">
            <x v="3"/>
          </reference>
        </references>
      </pivotArea>
    </chartFormat>
    <chartFormat chart="8" format="30">
      <pivotArea type="data" outline="0" fieldPosition="0">
        <references count="2">
          <reference field="4294967294" count="1" selected="0">
            <x v="0"/>
          </reference>
          <reference field="2" count="1" selected="0">
            <x v="4"/>
          </reference>
        </references>
      </pivotArea>
    </chartFormat>
    <chartFormat chart="8" format="31">
      <pivotArea type="data" outline="0" fieldPosition="0">
        <references count="2">
          <reference field="4294967294" count="1" selected="0">
            <x v="0"/>
          </reference>
          <reference field="2" count="1" selected="0">
            <x v="5"/>
          </reference>
        </references>
      </pivotArea>
    </chartFormat>
    <chartFormat chart="8" format="32">
      <pivotArea type="data" outline="0" fieldPosition="0">
        <references count="2">
          <reference field="4294967294" count="1" selected="0">
            <x v="0"/>
          </reference>
          <reference field="2" count="1" selected="0">
            <x v="6"/>
          </reference>
        </references>
      </pivotArea>
    </chartFormat>
    <chartFormat chart="8" format="33" series="1">
      <pivotArea type="data" outline="0" fieldPosition="0">
        <references count="1">
          <reference field="4294967294" count="1" selected="0">
            <x v="1"/>
          </reference>
        </references>
      </pivotArea>
    </chartFormat>
    <chartFormat chart="8" format="34">
      <pivotArea type="data" outline="0" fieldPosition="0">
        <references count="2">
          <reference field="4294967294" count="1" selected="0">
            <x v="1"/>
          </reference>
          <reference field="2" count="1" selected="0">
            <x v="0"/>
          </reference>
        </references>
      </pivotArea>
    </chartFormat>
    <chartFormat chart="8" format="35">
      <pivotArea type="data" outline="0" fieldPosition="0">
        <references count="2">
          <reference field="4294967294" count="1" selected="0">
            <x v="1"/>
          </reference>
          <reference field="2" count="1" selected="0">
            <x v="1"/>
          </reference>
        </references>
      </pivotArea>
    </chartFormat>
    <chartFormat chart="8" format="36">
      <pivotArea type="data" outline="0" fieldPosition="0">
        <references count="2">
          <reference field="4294967294" count="1" selected="0">
            <x v="1"/>
          </reference>
          <reference field="2" count="1" selected="0">
            <x v="2"/>
          </reference>
        </references>
      </pivotArea>
    </chartFormat>
    <chartFormat chart="8" format="37">
      <pivotArea type="data" outline="0" fieldPosition="0">
        <references count="2">
          <reference field="4294967294" count="1" selected="0">
            <x v="1"/>
          </reference>
          <reference field="2" count="1" selected="0">
            <x v="3"/>
          </reference>
        </references>
      </pivotArea>
    </chartFormat>
    <chartFormat chart="8" format="38">
      <pivotArea type="data" outline="0" fieldPosition="0">
        <references count="2">
          <reference field="4294967294" count="1" selected="0">
            <x v="1"/>
          </reference>
          <reference field="2" count="1" selected="0">
            <x v="4"/>
          </reference>
        </references>
      </pivotArea>
    </chartFormat>
    <chartFormat chart="8" format="39">
      <pivotArea type="data" outline="0" fieldPosition="0">
        <references count="2">
          <reference field="4294967294" count="1" selected="0">
            <x v="1"/>
          </reference>
          <reference field="2" count="1" selected="0">
            <x v="5"/>
          </reference>
        </references>
      </pivotArea>
    </chartFormat>
    <chartFormat chart="8" format="40">
      <pivotArea type="data" outline="0" fieldPosition="0">
        <references count="2">
          <reference field="4294967294" count="1" selected="0">
            <x v="1"/>
          </reference>
          <reference field="2" count="1" selected="0">
            <x v="6"/>
          </reference>
        </references>
      </pivotArea>
    </chartFormat>
  </chartFormats>
  <pivotHierarchies count="2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AmazonSalesData">
        <x15:activeTabTopLevelEntity name="[Amazon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85B40F-8156-4521-B107-54D71C540D41}" autoFormatId="16" applyNumberFormats="0" applyBorderFormats="0" applyFontFormats="0" applyPatternFormats="0" applyAlignmentFormats="0" applyWidthHeightFormats="0">
  <queryTableRefresh nextId="16" unboundColumnsRight="1">
    <queryTableFields count="15">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3334F6-C0E2-46F6-A3E1-B16060133A5C}" sourceName="[AmazonSalesData].[Region]">
  <pivotTables>
    <pivotTable tabId="4" name="PivotTable2"/>
    <pivotTable tabId="6" name="PivotTable4"/>
    <pivotTable tabId="5" name="PivotTable3"/>
  </pivotTables>
  <data>
    <olap pivotCacheId="1974713995">
      <levels count="2">
        <level uniqueName="[AmazonSalesData].[Region].[(All)]" sourceCaption="(All)" count="0"/>
        <level uniqueName="[AmazonSalesData].[Region].[Region]" sourceCaption="Region" count="7">
          <ranges>
            <range startItem="0">
              <i n="[AmazonSalesData].[Region].&amp;[Asia]" c="Asia"/>
              <i n="[AmazonSalesData].[Region].&amp;[Australia and Oceania]" c="Australia and Oceania"/>
              <i n="[AmazonSalesData].[Region].&amp;[Central America and the Caribbean]" c="Central America and the Caribbean"/>
              <i n="[AmazonSalesData].[Region].&amp;[Europe]" c="Europe"/>
              <i n="[AmazonSalesData].[Region].&amp;[Middle East and North Africa]" c="Middle East and North Africa"/>
              <i n="[AmazonSalesData].[Region].&amp;[North America]" c="North America"/>
              <i n="[AmazonSalesData].[Region].&amp;[Sub-Saharan Africa]" c="Sub-Saharan Africa"/>
            </range>
          </ranges>
        </level>
      </levels>
      <selections count="1">
        <selection n="[AmazonSales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8FE4A4EA-A98C-4784-BF36-16E7CB5E72F0}" sourceName="[AmazonSalesData].[Item Type]">
  <pivotTables>
    <pivotTable tabId="5" name="PivotTable3"/>
    <pivotTable tabId="6" name="PivotTable4"/>
    <pivotTable tabId="4" name="PivotTable2"/>
  </pivotTables>
  <data>
    <olap pivotCacheId="1974713995">
      <levels count="2">
        <level uniqueName="[AmazonSalesData].[Item Type].[(All)]" sourceCaption="(All)" count="0"/>
        <level uniqueName="[AmazonSalesData].[Item Type].[Item Type]" sourceCaption="Item Type" count="12">
          <ranges>
            <range startItem="0">
              <i n="[AmazonSalesData].[Item Type].&amp;[Baby Food]" c="Baby Food"/>
              <i n="[AmazonSalesData].[Item Type].&amp;[Beverages]" c="Beverages"/>
              <i n="[AmazonSalesData].[Item Type].&amp;[Cereal]" c="Cereal"/>
              <i n="[AmazonSalesData].[Item Type].&amp;[Clothes]" c="Clothes"/>
              <i n="[AmazonSalesData].[Item Type].&amp;[Cosmetics]" c="Cosmetics"/>
              <i n="[AmazonSalesData].[Item Type].&amp;[Fruits]" c="Fruits"/>
              <i n="[AmazonSalesData].[Item Type].&amp;[Household]" c="Household"/>
              <i n="[AmazonSalesData].[Item Type].&amp;[Meat]" c="Meat"/>
              <i n="[AmazonSalesData].[Item Type].&amp;[Office Supplies]" c="Office Supplies"/>
              <i n="[AmazonSalesData].[Item Type].&amp;[Personal Care]" c="Personal Care"/>
              <i n="[AmazonSalesData].[Item Type].&amp;[Snacks]" c="Snacks"/>
              <i n="[AmazonSalesData].[Item Type].&amp;[Vegetables]" c="Vegetables"/>
            </range>
          </ranges>
        </level>
      </levels>
      <selections count="1">
        <selection n="[AmazonSalesData].[Item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7B880A-A7A8-407D-8982-B4590E063155}" sourceName="Year">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5E5465-0539-42CC-9247-85BB2EF1557A}" cache="Slicer_Region" caption="Region" level="1" style="SlicerStyleDark1" rowHeight="241300"/>
  <slicer name="Item Type 1" xr10:uid="{3F5D030C-D8B6-40B8-8D5E-9F7DE3C491F7}" cache="Slicer_Item_Type1" caption="Item Type"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3A264FF-F90B-4D98-8442-8D05D91E0487}" cache="Slicer_Year" caption="Year"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E5028-CC93-4AE8-A7D2-B2A158A70C3D}" name="AmazonSalesData" displayName="AmazonSalesData" ref="A1:O102" tableType="queryTable" totalsRowCount="1">
  <autoFilter ref="A1:O101" xr:uid="{9B2E5028-CC93-4AE8-A7D2-B2A158A70C3D}"/>
  <tableColumns count="15">
    <tableColumn id="1" xr3:uid="{488D5807-7842-48AB-8680-434832B31645}" uniqueName="1" name="Region" queryTableFieldId="1" dataDxfId="19" totalsRowDxfId="11"/>
    <tableColumn id="2" xr3:uid="{86278197-4F57-4554-BA14-751E78F1BDAE}" uniqueName="2" name="Country" queryTableFieldId="2" dataDxfId="18" totalsRowDxfId="10"/>
    <tableColumn id="3" xr3:uid="{0B27798B-851E-4A15-AEF5-50E9729A9AFB}" uniqueName="3" name="Item Type" queryTableFieldId="3" dataDxfId="17" totalsRowDxfId="9"/>
    <tableColumn id="4" xr3:uid="{46900192-438F-4532-9307-21F46C78DD33}" uniqueName="4" name="Sales Channel" queryTableFieldId="4" dataDxfId="16" totalsRowDxfId="8"/>
    <tableColumn id="5" xr3:uid="{B2458AB9-AE25-4570-95AB-6A2227DF4655}" uniqueName="5" name="Order Priority" queryTableFieldId="5" dataDxfId="15" totalsRowDxfId="7"/>
    <tableColumn id="6" xr3:uid="{3A893D46-0DA0-42FF-9B0A-C95C33DD8D8D}" uniqueName="6" name="Order Date" queryTableFieldId="6" dataDxfId="14" totalsRowDxfId="6"/>
    <tableColumn id="7" xr3:uid="{18BEB61C-B007-472E-9F03-C62C6645D917}" uniqueName="7" name="Order ID" queryTableFieldId="7"/>
    <tableColumn id="8" xr3:uid="{75010D2C-3A08-4416-80C3-8B1855D765D7}" uniqueName="8" name="Ship Date" queryTableFieldId="8" dataDxfId="13" totalsRowDxfId="5"/>
    <tableColumn id="9" xr3:uid="{022301AC-CC87-418C-9304-B389108C997C}" uniqueName="9" name="Units Sold" totalsRowFunction="custom" queryTableFieldId="9">
      <totalsRowFormula>SUM(AmazonSalesData[Units Sold])</totalsRowFormula>
    </tableColumn>
    <tableColumn id="10" xr3:uid="{127603F1-2A49-45AE-9219-C779F1C82113}" uniqueName="10" name="Unit Price" queryTableFieldId="10"/>
    <tableColumn id="11" xr3:uid="{EC819E7A-2D51-49A4-A2AF-D6C9F0082A75}" uniqueName="11" name="Unit Cost" queryTableFieldId="11"/>
    <tableColumn id="12" xr3:uid="{0716D23F-F30A-4EF0-818A-F5CF4DBF0971}" uniqueName="12" name="Total Revenue" totalsRowFunction="custom" queryTableFieldId="12">
      <totalsRowFormula>SUM(AmazonSalesData[Total Revenue])</totalsRowFormula>
    </tableColumn>
    <tableColumn id="13" xr3:uid="{76AF97D9-11B9-47C9-9DAA-97356D70222C}" uniqueName="13" name="Total Cost" totalsRowFunction="custom" queryTableFieldId="13">
      <totalsRowFormula>SUM(AmazonSalesData[Total Cost])</totalsRowFormula>
    </tableColumn>
    <tableColumn id="14" xr3:uid="{B2AC0083-74CF-4F07-9ABC-238F7FE63AC9}" uniqueName="14" name="Total Profit" totalsRowFunction="custom" queryTableFieldId="14">
      <totalsRowFormula>SUM(AmazonSalesData[Total Profit])</totalsRowFormula>
    </tableColumn>
    <tableColumn id="15" xr3:uid="{EC5DF4EC-6646-4BAD-AE03-75B4EEB12C30}" uniqueName="15" name="Year" queryTableFieldId="15" dataDxfId="4">
      <calculatedColumnFormula>YEAR(F2)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F469-A01E-4D4A-9628-34FA2A4AF4B6}">
  <dimension ref="A3:B11"/>
  <sheetViews>
    <sheetView workbookViewId="0">
      <selection activeCell="A6" sqref="A6"/>
    </sheetView>
  </sheetViews>
  <sheetFormatPr defaultRowHeight="15" x14ac:dyDescent="0.25"/>
  <cols>
    <col min="1" max="1" width="32.42578125" bestFit="1" customWidth="1"/>
    <col min="2" max="2" width="20.5703125" bestFit="1" customWidth="1"/>
  </cols>
  <sheetData>
    <row r="3" spans="1:2" x14ac:dyDescent="0.25">
      <c r="A3" s="1" t="s">
        <v>311</v>
      </c>
      <c r="B3" t="s">
        <v>313</v>
      </c>
    </row>
    <row r="4" spans="1:2" x14ac:dyDescent="0.25">
      <c r="A4" s="2" t="s">
        <v>61</v>
      </c>
      <c r="B4" s="3">
        <v>21347091.02</v>
      </c>
    </row>
    <row r="5" spans="1:2" x14ac:dyDescent="0.25">
      <c r="A5" s="2" t="s">
        <v>14</v>
      </c>
      <c r="B5" s="3">
        <v>14094265.130000001</v>
      </c>
    </row>
    <row r="6" spans="1:2" x14ac:dyDescent="0.25">
      <c r="A6" s="2" t="s">
        <v>21</v>
      </c>
      <c r="B6" s="3">
        <v>9170385.4900000002</v>
      </c>
    </row>
    <row r="7" spans="1:2" x14ac:dyDescent="0.25">
      <c r="A7" s="2" t="s">
        <v>28</v>
      </c>
      <c r="B7" s="3">
        <v>33368932.109999999</v>
      </c>
    </row>
    <row r="8" spans="1:2" x14ac:dyDescent="0.25">
      <c r="A8" s="2" t="s">
        <v>142</v>
      </c>
      <c r="B8" s="3">
        <v>14052706.58</v>
      </c>
    </row>
    <row r="9" spans="1:2" x14ac:dyDescent="0.25">
      <c r="A9" s="2" t="s">
        <v>244</v>
      </c>
      <c r="B9" s="3">
        <v>5643356.5499999998</v>
      </c>
    </row>
    <row r="10" spans="1:2" x14ac:dyDescent="0.25">
      <c r="A10" s="2" t="s">
        <v>34</v>
      </c>
      <c r="B10" s="3">
        <v>39672031.43</v>
      </c>
    </row>
    <row r="11" spans="1:2" x14ac:dyDescent="0.25">
      <c r="A11" s="2" t="s">
        <v>312</v>
      </c>
      <c r="B11" s="3">
        <v>137348768.31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D241-59B1-4A0C-9BD9-4FCAED3A5F8A}">
  <dimension ref="A3:C16"/>
  <sheetViews>
    <sheetView workbookViewId="0">
      <selection activeCell="B10" sqref="B10"/>
    </sheetView>
  </sheetViews>
  <sheetFormatPr defaultRowHeight="15" x14ac:dyDescent="0.25"/>
  <cols>
    <col min="1" max="1" width="14.5703125" bestFit="1" customWidth="1"/>
    <col min="2" max="2" width="17.7109375" bestFit="1" customWidth="1"/>
    <col min="3" max="3" width="22.7109375" bestFit="1" customWidth="1"/>
    <col min="4" max="4" width="18.42578125" customWidth="1"/>
    <col min="5" max="7" width="8" customWidth="1"/>
    <col min="8" max="15" width="9" customWidth="1"/>
    <col min="16" max="16" width="8" customWidth="1"/>
    <col min="17" max="18" width="9" customWidth="1"/>
    <col min="19" max="20" width="8" customWidth="1"/>
    <col min="21" max="21" width="9" customWidth="1"/>
    <col min="22" max="22" width="8" customWidth="1"/>
    <col min="23" max="25" width="9" customWidth="1"/>
    <col min="26" max="26" width="7" customWidth="1"/>
    <col min="27" max="27" width="10" customWidth="1"/>
    <col min="28" max="28" width="9" customWidth="1"/>
    <col min="29" max="30" width="10" customWidth="1"/>
    <col min="31" max="31" width="9" customWidth="1"/>
    <col min="32" max="36" width="10" customWidth="1"/>
    <col min="37" max="38" width="9" customWidth="1"/>
    <col min="39" max="44" width="10" customWidth="1"/>
    <col min="45" max="45" width="9" customWidth="1"/>
    <col min="46" max="49" width="10" customWidth="1"/>
    <col min="50" max="50" width="9" customWidth="1"/>
    <col min="51" max="54" width="10" customWidth="1"/>
    <col min="55" max="55" width="9" customWidth="1"/>
    <col min="56" max="56" width="10" customWidth="1"/>
    <col min="57" max="57" width="7" customWidth="1"/>
    <col min="58" max="58" width="9" customWidth="1"/>
    <col min="59" max="61" width="10" customWidth="1"/>
    <col min="62" max="62" width="9" customWidth="1"/>
    <col min="63" max="64" width="10" customWidth="1"/>
    <col min="65" max="65" width="7" customWidth="1"/>
    <col min="66" max="74" width="10" customWidth="1"/>
    <col min="75" max="77" width="9" customWidth="1"/>
    <col min="78" max="78" width="10" customWidth="1"/>
    <col min="79" max="79" width="9" customWidth="1"/>
    <col min="80" max="80" width="7" customWidth="1"/>
    <col min="81" max="81" width="9" customWidth="1"/>
    <col min="82" max="85" width="10" customWidth="1"/>
    <col min="86" max="86" width="7" customWidth="1"/>
    <col min="87" max="87" width="10" customWidth="1"/>
    <col min="88" max="88" width="9" customWidth="1"/>
    <col min="89" max="94" width="11" customWidth="1"/>
    <col min="95" max="96" width="10" customWidth="1"/>
    <col min="97" max="101" width="11" customWidth="1"/>
    <col min="102" max="102" width="11.28515625" customWidth="1"/>
  </cols>
  <sheetData>
    <row r="3" spans="1:3" x14ac:dyDescent="0.25">
      <c r="A3" s="1" t="s">
        <v>311</v>
      </c>
      <c r="B3" t="s">
        <v>314</v>
      </c>
      <c r="C3" t="s">
        <v>315</v>
      </c>
    </row>
    <row r="4" spans="1:3" x14ac:dyDescent="0.25">
      <c r="A4" s="2" t="s">
        <v>16</v>
      </c>
      <c r="B4" s="3">
        <v>3886643.7</v>
      </c>
      <c r="C4" s="3">
        <v>3</v>
      </c>
    </row>
    <row r="5" spans="1:3" x14ac:dyDescent="0.25">
      <c r="A5" s="2" t="s">
        <v>86</v>
      </c>
      <c r="B5" s="3">
        <v>888047.28</v>
      </c>
      <c r="C5" s="3">
        <v>4</v>
      </c>
    </row>
    <row r="6" spans="1:3" x14ac:dyDescent="0.25">
      <c r="A6" s="2" t="s">
        <v>23</v>
      </c>
      <c r="B6" s="3">
        <v>2292443.4300000002</v>
      </c>
      <c r="C6" s="3">
        <v>4</v>
      </c>
    </row>
    <row r="7" spans="1:3" x14ac:dyDescent="0.25">
      <c r="A7" s="2" t="s">
        <v>66</v>
      </c>
      <c r="B7" s="3">
        <v>5233334.4000000004</v>
      </c>
      <c r="C7" s="3">
        <v>6</v>
      </c>
    </row>
    <row r="8" spans="1:3" x14ac:dyDescent="0.25">
      <c r="A8" s="2" t="s">
        <v>82</v>
      </c>
      <c r="B8" s="3">
        <v>14556048.66</v>
      </c>
      <c r="C8" s="3">
        <v>6</v>
      </c>
    </row>
    <row r="9" spans="1:3" x14ac:dyDescent="0.25">
      <c r="A9" s="2" t="s">
        <v>36</v>
      </c>
      <c r="B9" s="3">
        <v>120495.18</v>
      </c>
      <c r="C9" s="3">
        <v>4</v>
      </c>
    </row>
    <row r="10" spans="1:3" x14ac:dyDescent="0.25">
      <c r="A10" s="2" t="s">
        <v>46</v>
      </c>
      <c r="B10" s="3">
        <v>7412605.71</v>
      </c>
      <c r="C10" s="3">
        <v>5</v>
      </c>
    </row>
    <row r="11" spans="1:3" x14ac:dyDescent="0.25">
      <c r="A11" s="2" t="s">
        <v>93</v>
      </c>
      <c r="B11" s="3">
        <v>610610</v>
      </c>
      <c r="C11" s="3">
        <v>2</v>
      </c>
    </row>
    <row r="12" spans="1:3" x14ac:dyDescent="0.25">
      <c r="A12" s="2" t="s">
        <v>30</v>
      </c>
      <c r="B12" s="3">
        <v>5929583.75</v>
      </c>
      <c r="C12" s="3">
        <v>5</v>
      </c>
    </row>
    <row r="13" spans="1:3" x14ac:dyDescent="0.25">
      <c r="A13" s="2" t="s">
        <v>55</v>
      </c>
      <c r="B13" s="3">
        <v>1220622.48</v>
      </c>
      <c r="C13" s="3">
        <v>5</v>
      </c>
    </row>
    <row r="14" spans="1:3" x14ac:dyDescent="0.25">
      <c r="A14" s="2" t="s">
        <v>102</v>
      </c>
      <c r="B14" s="3">
        <v>751944.18</v>
      </c>
      <c r="C14" s="3">
        <v>2</v>
      </c>
    </row>
    <row r="15" spans="1:3" x14ac:dyDescent="0.25">
      <c r="A15" s="2" t="s">
        <v>51</v>
      </c>
      <c r="B15" s="3">
        <v>1265819.6299999999</v>
      </c>
      <c r="C15" s="3">
        <v>3</v>
      </c>
    </row>
    <row r="16" spans="1:3" x14ac:dyDescent="0.25">
      <c r="A16" s="4" t="s">
        <v>312</v>
      </c>
      <c r="B16" s="3">
        <v>44168198.399999999</v>
      </c>
      <c r="C16" s="3">
        <v>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8999-7BD5-4EB6-A5B1-BEEC1B0F1461}">
  <dimension ref="A3:C11"/>
  <sheetViews>
    <sheetView zoomScaleNormal="100" workbookViewId="0">
      <selection activeCell="C8" sqref="C8"/>
    </sheetView>
  </sheetViews>
  <sheetFormatPr defaultRowHeight="15" x14ac:dyDescent="0.25"/>
  <cols>
    <col min="1" max="1" width="32.42578125" bestFit="1" customWidth="1"/>
    <col min="2" max="2" width="16.42578125" bestFit="1" customWidth="1"/>
    <col min="3" max="3" width="17.7109375" bestFit="1" customWidth="1"/>
    <col min="4" max="4" width="17" customWidth="1"/>
  </cols>
  <sheetData>
    <row r="3" spans="1:3" x14ac:dyDescent="0.25">
      <c r="A3" s="1" t="s">
        <v>311</v>
      </c>
      <c r="B3" t="s">
        <v>316</v>
      </c>
      <c r="C3" t="s">
        <v>314</v>
      </c>
    </row>
    <row r="4" spans="1:3" x14ac:dyDescent="0.25">
      <c r="A4" s="2" t="s">
        <v>61</v>
      </c>
      <c r="B4" s="3">
        <v>15233245.15</v>
      </c>
      <c r="C4" s="3">
        <v>6113845.8700000001</v>
      </c>
    </row>
    <row r="5" spans="1:3" x14ac:dyDescent="0.25">
      <c r="A5" s="2" t="s">
        <v>14</v>
      </c>
      <c r="B5" s="3">
        <v>9372105.0999999996</v>
      </c>
      <c r="C5" s="3">
        <v>4722160.03</v>
      </c>
    </row>
    <row r="6" spans="1:3" x14ac:dyDescent="0.25">
      <c r="A6" s="2" t="s">
        <v>21</v>
      </c>
      <c r="B6" s="3">
        <v>6323477.6399999997</v>
      </c>
      <c r="C6" s="3">
        <v>2846907.85</v>
      </c>
    </row>
    <row r="7" spans="1:3" x14ac:dyDescent="0.25">
      <c r="A7" s="2" t="s">
        <v>28</v>
      </c>
      <c r="B7" s="3">
        <v>22285993.48</v>
      </c>
      <c r="C7" s="3">
        <v>11082938.630000001</v>
      </c>
    </row>
    <row r="8" spans="1:3" x14ac:dyDescent="0.25">
      <c r="A8" s="2" t="s">
        <v>142</v>
      </c>
      <c r="B8" s="3">
        <v>8291514.7199999997</v>
      </c>
      <c r="C8" s="3">
        <v>5761191.8600000003</v>
      </c>
    </row>
    <row r="9" spans="1:3" x14ac:dyDescent="0.25">
      <c r="A9" s="2" t="s">
        <v>244</v>
      </c>
      <c r="B9" s="3">
        <v>4185413.79</v>
      </c>
      <c r="C9" s="3">
        <v>1457942.76</v>
      </c>
    </row>
    <row r="10" spans="1:3" x14ac:dyDescent="0.25">
      <c r="A10" s="2" t="s">
        <v>34</v>
      </c>
      <c r="B10" s="3">
        <v>27488820.030000001</v>
      </c>
      <c r="C10" s="3">
        <v>12183211.4</v>
      </c>
    </row>
    <row r="11" spans="1:3" x14ac:dyDescent="0.25">
      <c r="A11" s="2" t="s">
        <v>312</v>
      </c>
      <c r="B11" s="3">
        <v>93180569.909999996</v>
      </c>
      <c r="C11" s="3">
        <v>44168198.399999999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4D4F-B5FD-4104-9E84-B4468B1AC499}">
  <dimension ref="A1:O102"/>
  <sheetViews>
    <sheetView workbookViewId="0">
      <selection activeCell="B9" sqref="B9"/>
    </sheetView>
  </sheetViews>
  <sheetFormatPr defaultRowHeight="15" x14ac:dyDescent="0.25"/>
  <cols>
    <col min="1" max="1" width="32.28515625" customWidth="1"/>
    <col min="2" max="2" width="31.28515625" customWidth="1"/>
    <col min="3" max="3" width="14.28515625" customWidth="1"/>
    <col min="4" max="4" width="16.28515625" customWidth="1"/>
    <col min="5" max="5" width="15.5703125" customWidth="1"/>
    <col min="6" max="6" width="13.140625" customWidth="1"/>
    <col min="7" max="7" width="10.85546875" customWidth="1"/>
    <col min="8" max="8" width="12" customWidth="1"/>
    <col min="9" max="9" width="12.42578125" customWidth="1"/>
    <col min="10" max="10" width="12" customWidth="1"/>
    <col min="11" max="11" width="11.7109375" customWidth="1"/>
    <col min="12" max="12" width="16.28515625" customWidth="1"/>
    <col min="13" max="13" width="12.42578125" customWidth="1"/>
    <col min="14" max="14" width="13.140625" customWidth="1"/>
    <col min="15" max="15" width="15.42578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317</v>
      </c>
    </row>
    <row r="2" spans="1:15" x14ac:dyDescent="0.25">
      <c r="A2" t="s">
        <v>14</v>
      </c>
      <c r="B2" t="s">
        <v>15</v>
      </c>
      <c r="C2" t="s">
        <v>16</v>
      </c>
      <c r="D2" t="s">
        <v>17</v>
      </c>
      <c r="E2" t="s">
        <v>18</v>
      </c>
      <c r="F2" t="s">
        <v>19</v>
      </c>
      <c r="G2">
        <v>669165933</v>
      </c>
      <c r="H2" t="s">
        <v>20</v>
      </c>
      <c r="I2">
        <v>9925</v>
      </c>
      <c r="J2">
        <v>255.28</v>
      </c>
      <c r="K2">
        <v>159.41999999999999</v>
      </c>
      <c r="L2">
        <v>2533654</v>
      </c>
      <c r="M2">
        <v>1582243.5</v>
      </c>
      <c r="N2">
        <v>951410.5</v>
      </c>
      <c r="O2">
        <v>2010</v>
      </c>
    </row>
    <row r="3" spans="1:15" x14ac:dyDescent="0.25">
      <c r="A3" t="s">
        <v>21</v>
      </c>
      <c r="B3" t="s">
        <v>22</v>
      </c>
      <c r="C3" t="s">
        <v>23</v>
      </c>
      <c r="D3" t="s">
        <v>24</v>
      </c>
      <c r="E3" t="s">
        <v>25</v>
      </c>
      <c r="F3" t="s">
        <v>26</v>
      </c>
      <c r="G3">
        <v>963881480</v>
      </c>
      <c r="H3" t="s">
        <v>27</v>
      </c>
      <c r="I3">
        <v>2804</v>
      </c>
      <c r="J3">
        <v>205.7</v>
      </c>
      <c r="K3">
        <v>117.11</v>
      </c>
      <c r="L3">
        <v>576782.80000000005</v>
      </c>
      <c r="M3">
        <v>328376.44</v>
      </c>
      <c r="N3">
        <v>248406.36</v>
      </c>
      <c r="O3">
        <v>2012</v>
      </c>
    </row>
    <row r="4" spans="1:15" x14ac:dyDescent="0.25">
      <c r="A4" t="s">
        <v>28</v>
      </c>
      <c r="B4" t="s">
        <v>29</v>
      </c>
      <c r="C4" t="s">
        <v>30</v>
      </c>
      <c r="D4" t="s">
        <v>17</v>
      </c>
      <c r="E4" t="s">
        <v>31</v>
      </c>
      <c r="F4" t="s">
        <v>32</v>
      </c>
      <c r="G4">
        <v>341417157</v>
      </c>
      <c r="H4" t="s">
        <v>33</v>
      </c>
      <c r="I4">
        <v>1779</v>
      </c>
      <c r="J4">
        <v>651.21</v>
      </c>
      <c r="K4">
        <v>524.96</v>
      </c>
      <c r="L4">
        <v>1158502.5900000001</v>
      </c>
      <c r="M4">
        <v>933903.84</v>
      </c>
      <c r="N4">
        <v>224598.75</v>
      </c>
      <c r="O4">
        <f t="shared" ref="O2:O33" si="0">YEAR(F4)</f>
        <v>2014</v>
      </c>
    </row>
    <row r="5" spans="1:15" x14ac:dyDescent="0.25">
      <c r="A5" t="s">
        <v>34</v>
      </c>
      <c r="B5" t="s">
        <v>35</v>
      </c>
      <c r="C5" t="s">
        <v>36</v>
      </c>
      <c r="D5" t="s">
        <v>24</v>
      </c>
      <c r="E5" t="s">
        <v>25</v>
      </c>
      <c r="F5" t="s">
        <v>37</v>
      </c>
      <c r="G5">
        <v>514321792</v>
      </c>
      <c r="H5" t="s">
        <v>38</v>
      </c>
      <c r="I5">
        <v>8102</v>
      </c>
      <c r="J5">
        <v>9.33</v>
      </c>
      <c r="K5">
        <v>6.92</v>
      </c>
      <c r="L5">
        <v>75591.66</v>
      </c>
      <c r="M5">
        <v>56065.84</v>
      </c>
      <c r="N5">
        <v>19525.82</v>
      </c>
      <c r="O5">
        <v>2014</v>
      </c>
    </row>
    <row r="6" spans="1:15" x14ac:dyDescent="0.25">
      <c r="A6" t="s">
        <v>34</v>
      </c>
      <c r="B6" t="s">
        <v>39</v>
      </c>
      <c r="C6" t="s">
        <v>30</v>
      </c>
      <c r="D6" t="s">
        <v>17</v>
      </c>
      <c r="E6" t="s">
        <v>31</v>
      </c>
      <c r="F6" t="s">
        <v>40</v>
      </c>
      <c r="G6">
        <v>115456712</v>
      </c>
      <c r="H6" t="s">
        <v>41</v>
      </c>
      <c r="I6">
        <v>5062</v>
      </c>
      <c r="J6">
        <v>651.21</v>
      </c>
      <c r="K6">
        <v>524.96</v>
      </c>
      <c r="L6">
        <v>3296425.02</v>
      </c>
      <c r="M6">
        <v>2657347.52</v>
      </c>
      <c r="N6">
        <v>639077.5</v>
      </c>
      <c r="O6">
        <f t="shared" si="0"/>
        <v>2013</v>
      </c>
    </row>
    <row r="7" spans="1:15" x14ac:dyDescent="0.25">
      <c r="A7" t="s">
        <v>14</v>
      </c>
      <c r="B7" t="s">
        <v>42</v>
      </c>
      <c r="C7" t="s">
        <v>16</v>
      </c>
      <c r="D7" t="s">
        <v>24</v>
      </c>
      <c r="E7" t="s">
        <v>25</v>
      </c>
      <c r="F7" t="s">
        <v>43</v>
      </c>
      <c r="G7">
        <v>547995746</v>
      </c>
      <c r="H7" t="s">
        <v>44</v>
      </c>
      <c r="I7">
        <v>2974</v>
      </c>
      <c r="J7">
        <v>255.28</v>
      </c>
      <c r="K7">
        <v>159.41999999999999</v>
      </c>
      <c r="L7">
        <v>759202.72</v>
      </c>
      <c r="M7">
        <v>474115.08</v>
      </c>
      <c r="N7">
        <v>285087.64</v>
      </c>
      <c r="O7">
        <f t="shared" si="0"/>
        <v>2015</v>
      </c>
    </row>
    <row r="8" spans="1:15" x14ac:dyDescent="0.25">
      <c r="A8" t="s">
        <v>34</v>
      </c>
      <c r="B8" t="s">
        <v>45</v>
      </c>
      <c r="C8" t="s">
        <v>46</v>
      </c>
      <c r="D8" t="s">
        <v>17</v>
      </c>
      <c r="E8" t="s">
        <v>47</v>
      </c>
      <c r="F8" t="s">
        <v>48</v>
      </c>
      <c r="G8">
        <v>135425221</v>
      </c>
      <c r="H8" t="s">
        <v>49</v>
      </c>
      <c r="I8">
        <v>4187</v>
      </c>
      <c r="J8">
        <v>668.27</v>
      </c>
      <c r="K8">
        <v>502.54</v>
      </c>
      <c r="L8">
        <v>2798046.49</v>
      </c>
      <c r="M8">
        <v>2104134.98</v>
      </c>
      <c r="N8">
        <v>693911.51</v>
      </c>
      <c r="O8">
        <v>2011</v>
      </c>
    </row>
    <row r="9" spans="1:15" x14ac:dyDescent="0.25">
      <c r="A9" t="s">
        <v>34</v>
      </c>
      <c r="B9" t="s">
        <v>50</v>
      </c>
      <c r="C9" t="s">
        <v>51</v>
      </c>
      <c r="D9" t="s">
        <v>24</v>
      </c>
      <c r="E9" t="s">
        <v>18</v>
      </c>
      <c r="F9" t="s">
        <v>52</v>
      </c>
      <c r="G9">
        <v>871543967</v>
      </c>
      <c r="H9" t="s">
        <v>53</v>
      </c>
      <c r="I9">
        <v>8082</v>
      </c>
      <c r="J9">
        <v>154.06</v>
      </c>
      <c r="K9">
        <v>90.93</v>
      </c>
      <c r="L9">
        <v>1245112.92</v>
      </c>
      <c r="M9">
        <v>734896.26</v>
      </c>
      <c r="N9">
        <v>510216.66</v>
      </c>
      <c r="O9">
        <v>2012</v>
      </c>
    </row>
    <row r="10" spans="1:15" x14ac:dyDescent="0.25">
      <c r="A10" t="s">
        <v>34</v>
      </c>
      <c r="B10" t="s">
        <v>54</v>
      </c>
      <c r="C10" t="s">
        <v>55</v>
      </c>
      <c r="D10" t="s">
        <v>17</v>
      </c>
      <c r="E10" t="s">
        <v>47</v>
      </c>
      <c r="F10" t="s">
        <v>56</v>
      </c>
      <c r="G10">
        <v>770463311</v>
      </c>
      <c r="H10" t="s">
        <v>57</v>
      </c>
      <c r="I10">
        <v>6070</v>
      </c>
      <c r="J10">
        <v>81.73</v>
      </c>
      <c r="K10">
        <v>56.67</v>
      </c>
      <c r="L10">
        <v>496101.1</v>
      </c>
      <c r="M10">
        <v>343986.9</v>
      </c>
      <c r="N10">
        <v>152114.20000000001</v>
      </c>
      <c r="O10">
        <v>2015</v>
      </c>
    </row>
    <row r="11" spans="1:15" x14ac:dyDescent="0.25">
      <c r="A11" t="s">
        <v>34</v>
      </c>
      <c r="B11" t="s">
        <v>58</v>
      </c>
      <c r="C11" t="s">
        <v>23</v>
      </c>
      <c r="D11" t="s">
        <v>24</v>
      </c>
      <c r="E11" t="s">
        <v>18</v>
      </c>
      <c r="F11" t="s">
        <v>59</v>
      </c>
      <c r="G11">
        <v>616607081</v>
      </c>
      <c r="H11" t="s">
        <v>60</v>
      </c>
      <c r="I11">
        <v>6593</v>
      </c>
      <c r="J11">
        <v>205.7</v>
      </c>
      <c r="K11">
        <v>117.11</v>
      </c>
      <c r="L11">
        <v>1356180.1</v>
      </c>
      <c r="M11">
        <v>772106.23</v>
      </c>
      <c r="N11">
        <v>584073.87</v>
      </c>
      <c r="O11">
        <v>2014</v>
      </c>
    </row>
    <row r="12" spans="1:15" x14ac:dyDescent="0.25">
      <c r="A12" t="s">
        <v>61</v>
      </c>
      <c r="B12" t="s">
        <v>62</v>
      </c>
      <c r="C12" t="s">
        <v>51</v>
      </c>
      <c r="D12" t="s">
        <v>24</v>
      </c>
      <c r="E12" t="s">
        <v>18</v>
      </c>
      <c r="F12" t="s">
        <v>63</v>
      </c>
      <c r="G12">
        <v>814711606</v>
      </c>
      <c r="H12" t="s">
        <v>64</v>
      </c>
      <c r="I12">
        <v>124</v>
      </c>
      <c r="J12">
        <v>154.06</v>
      </c>
      <c r="K12">
        <v>90.93</v>
      </c>
      <c r="L12">
        <v>19103.439999999999</v>
      </c>
      <c r="M12">
        <v>11275.32</v>
      </c>
      <c r="N12">
        <v>7828.12</v>
      </c>
      <c r="O12">
        <v>2011</v>
      </c>
    </row>
    <row r="13" spans="1:15" x14ac:dyDescent="0.25">
      <c r="A13" t="s">
        <v>34</v>
      </c>
      <c r="B13" t="s">
        <v>65</v>
      </c>
      <c r="C13" t="s">
        <v>66</v>
      </c>
      <c r="D13" t="s">
        <v>17</v>
      </c>
      <c r="E13" t="s">
        <v>18</v>
      </c>
      <c r="F13" t="s">
        <v>67</v>
      </c>
      <c r="G13">
        <v>939825713</v>
      </c>
      <c r="H13" t="s">
        <v>68</v>
      </c>
      <c r="I13">
        <v>4168</v>
      </c>
      <c r="J13">
        <v>109.28</v>
      </c>
      <c r="K13">
        <v>35.840000000000003</v>
      </c>
      <c r="L13">
        <v>455479.03999999998</v>
      </c>
      <c r="M13">
        <v>149381.12</v>
      </c>
      <c r="N13">
        <v>306097.91999999998</v>
      </c>
      <c r="O13">
        <f t="shared" si="0"/>
        <v>2014</v>
      </c>
    </row>
    <row r="14" spans="1:15" x14ac:dyDescent="0.25">
      <c r="A14" t="s">
        <v>61</v>
      </c>
      <c r="B14" t="s">
        <v>69</v>
      </c>
      <c r="C14" t="s">
        <v>66</v>
      </c>
      <c r="D14" t="s">
        <v>24</v>
      </c>
      <c r="E14" t="s">
        <v>31</v>
      </c>
      <c r="F14" t="s">
        <v>70</v>
      </c>
      <c r="G14">
        <v>187310731</v>
      </c>
      <c r="H14" t="s">
        <v>71</v>
      </c>
      <c r="I14">
        <v>8263</v>
      </c>
      <c r="J14">
        <v>109.28</v>
      </c>
      <c r="K14">
        <v>35.840000000000003</v>
      </c>
      <c r="L14">
        <v>902980.64</v>
      </c>
      <c r="M14">
        <v>296145.91999999998</v>
      </c>
      <c r="N14">
        <v>606834.72</v>
      </c>
      <c r="O14">
        <v>2017</v>
      </c>
    </row>
    <row r="15" spans="1:15" x14ac:dyDescent="0.25">
      <c r="A15" t="s">
        <v>21</v>
      </c>
      <c r="B15" t="s">
        <v>72</v>
      </c>
      <c r="C15" t="s">
        <v>46</v>
      </c>
      <c r="D15" t="s">
        <v>17</v>
      </c>
      <c r="E15" t="s">
        <v>18</v>
      </c>
      <c r="F15" t="s">
        <v>73</v>
      </c>
      <c r="G15">
        <v>522840487</v>
      </c>
      <c r="H15" t="s">
        <v>74</v>
      </c>
      <c r="I15">
        <v>8974</v>
      </c>
      <c r="J15">
        <v>668.27</v>
      </c>
      <c r="K15">
        <v>502.54</v>
      </c>
      <c r="L15">
        <v>5997054.9800000004</v>
      </c>
      <c r="M15">
        <v>4509793.96</v>
      </c>
      <c r="N15">
        <v>1487261.02</v>
      </c>
      <c r="O15">
        <f t="shared" si="0"/>
        <v>2017</v>
      </c>
    </row>
    <row r="16" spans="1:15" x14ac:dyDescent="0.25">
      <c r="A16" t="s">
        <v>61</v>
      </c>
      <c r="B16" t="s">
        <v>75</v>
      </c>
      <c r="C16" t="s">
        <v>55</v>
      </c>
      <c r="D16" t="s">
        <v>17</v>
      </c>
      <c r="E16" t="s">
        <v>25</v>
      </c>
      <c r="F16" t="s">
        <v>76</v>
      </c>
      <c r="G16">
        <v>832401311</v>
      </c>
      <c r="H16" t="s">
        <v>77</v>
      </c>
      <c r="I16">
        <v>4901</v>
      </c>
      <c r="J16">
        <v>81.73</v>
      </c>
      <c r="K16">
        <v>56.67</v>
      </c>
      <c r="L16">
        <v>400558.73</v>
      </c>
      <c r="M16">
        <v>277739.67</v>
      </c>
      <c r="N16">
        <v>122819.06</v>
      </c>
      <c r="O16">
        <v>2014</v>
      </c>
    </row>
    <row r="17" spans="1:15" x14ac:dyDescent="0.25">
      <c r="A17" t="s">
        <v>28</v>
      </c>
      <c r="B17" t="s">
        <v>78</v>
      </c>
      <c r="C17" t="s">
        <v>66</v>
      </c>
      <c r="D17" t="s">
        <v>24</v>
      </c>
      <c r="E17" t="s">
        <v>47</v>
      </c>
      <c r="F17" t="s">
        <v>79</v>
      </c>
      <c r="G17">
        <v>972292029</v>
      </c>
      <c r="H17" t="s">
        <v>80</v>
      </c>
      <c r="I17">
        <v>1673</v>
      </c>
      <c r="J17">
        <v>109.28</v>
      </c>
      <c r="K17">
        <v>35.840000000000003</v>
      </c>
      <c r="L17">
        <v>182825.44</v>
      </c>
      <c r="M17">
        <v>59960.32</v>
      </c>
      <c r="N17">
        <v>122865.12</v>
      </c>
      <c r="O17">
        <v>2012</v>
      </c>
    </row>
    <row r="18" spans="1:15" x14ac:dyDescent="0.25">
      <c r="A18" t="s">
        <v>61</v>
      </c>
      <c r="B18" t="s">
        <v>81</v>
      </c>
      <c r="C18" t="s">
        <v>82</v>
      </c>
      <c r="D18" t="s">
        <v>17</v>
      </c>
      <c r="E18" t="s">
        <v>47</v>
      </c>
      <c r="F18" t="s">
        <v>83</v>
      </c>
      <c r="G18">
        <v>419123971</v>
      </c>
      <c r="H18" t="s">
        <v>84</v>
      </c>
      <c r="I18">
        <v>6952</v>
      </c>
      <c r="J18">
        <v>437.2</v>
      </c>
      <c r="K18">
        <v>263.33</v>
      </c>
      <c r="L18">
        <v>3039414.4</v>
      </c>
      <c r="M18">
        <v>1830670.16</v>
      </c>
      <c r="N18">
        <v>1208744.24</v>
      </c>
      <c r="O18">
        <v>2016</v>
      </c>
    </row>
    <row r="19" spans="1:15" x14ac:dyDescent="0.25">
      <c r="A19" t="s">
        <v>34</v>
      </c>
      <c r="B19" t="s">
        <v>85</v>
      </c>
      <c r="C19" t="s">
        <v>86</v>
      </c>
      <c r="D19" t="s">
        <v>17</v>
      </c>
      <c r="E19" t="s">
        <v>25</v>
      </c>
      <c r="F19" t="s">
        <v>87</v>
      </c>
      <c r="G19">
        <v>519820964</v>
      </c>
      <c r="H19" t="s">
        <v>88</v>
      </c>
      <c r="I19">
        <v>5430</v>
      </c>
      <c r="J19">
        <v>47.45</v>
      </c>
      <c r="K19">
        <v>31.79</v>
      </c>
      <c r="L19">
        <v>257653.5</v>
      </c>
      <c r="M19">
        <v>172619.7</v>
      </c>
      <c r="N19">
        <v>85033.8</v>
      </c>
      <c r="O19">
        <f t="shared" si="0"/>
        <v>2015</v>
      </c>
    </row>
    <row r="20" spans="1:15" x14ac:dyDescent="0.25">
      <c r="A20" t="s">
        <v>61</v>
      </c>
      <c r="B20" t="s">
        <v>89</v>
      </c>
      <c r="C20" t="s">
        <v>46</v>
      </c>
      <c r="D20" t="s">
        <v>17</v>
      </c>
      <c r="E20" t="s">
        <v>31</v>
      </c>
      <c r="F20" t="s">
        <v>90</v>
      </c>
      <c r="G20">
        <v>441619336</v>
      </c>
      <c r="H20" t="s">
        <v>91</v>
      </c>
      <c r="I20">
        <v>3830</v>
      </c>
      <c r="J20">
        <v>668.27</v>
      </c>
      <c r="K20">
        <v>502.54</v>
      </c>
      <c r="L20">
        <v>2559474.1</v>
      </c>
      <c r="M20">
        <v>1924728.2</v>
      </c>
      <c r="N20">
        <v>634745.9</v>
      </c>
      <c r="O20">
        <v>2015</v>
      </c>
    </row>
    <row r="21" spans="1:15" x14ac:dyDescent="0.25">
      <c r="A21" t="s">
        <v>14</v>
      </c>
      <c r="B21" t="s">
        <v>92</v>
      </c>
      <c r="C21" t="s">
        <v>93</v>
      </c>
      <c r="D21" t="s">
        <v>24</v>
      </c>
      <c r="E21" t="s">
        <v>31</v>
      </c>
      <c r="F21" t="s">
        <v>94</v>
      </c>
      <c r="G21">
        <v>322067916</v>
      </c>
      <c r="H21" t="s">
        <v>95</v>
      </c>
      <c r="I21">
        <v>5908</v>
      </c>
      <c r="J21">
        <v>421.89</v>
      </c>
      <c r="K21">
        <v>364.69</v>
      </c>
      <c r="L21">
        <v>2492526.12</v>
      </c>
      <c r="M21">
        <v>2154588.52</v>
      </c>
      <c r="N21">
        <v>337937.6</v>
      </c>
      <c r="O21">
        <v>2012</v>
      </c>
    </row>
    <row r="22" spans="1:15" x14ac:dyDescent="0.25">
      <c r="A22" t="s">
        <v>28</v>
      </c>
      <c r="B22" t="s">
        <v>96</v>
      </c>
      <c r="C22" t="s">
        <v>16</v>
      </c>
      <c r="D22" t="s">
        <v>24</v>
      </c>
      <c r="E22" t="s">
        <v>31</v>
      </c>
      <c r="F22" t="s">
        <v>97</v>
      </c>
      <c r="G22">
        <v>819028031</v>
      </c>
      <c r="H22" t="s">
        <v>98</v>
      </c>
      <c r="I22">
        <v>7450</v>
      </c>
      <c r="J22">
        <v>255.28</v>
      </c>
      <c r="K22">
        <v>159.41999999999999</v>
      </c>
      <c r="L22">
        <v>1901836</v>
      </c>
      <c r="M22">
        <v>1187679</v>
      </c>
      <c r="N22">
        <v>714157</v>
      </c>
      <c r="O22">
        <v>2014</v>
      </c>
    </row>
    <row r="23" spans="1:15" x14ac:dyDescent="0.25">
      <c r="A23" t="s">
        <v>28</v>
      </c>
      <c r="B23" t="s">
        <v>99</v>
      </c>
      <c r="C23" t="s">
        <v>16</v>
      </c>
      <c r="D23" t="s">
        <v>24</v>
      </c>
      <c r="E23" t="s">
        <v>18</v>
      </c>
      <c r="F23" t="s">
        <v>100</v>
      </c>
      <c r="G23">
        <v>860673511</v>
      </c>
      <c r="H23" t="s">
        <v>101</v>
      </c>
      <c r="I23">
        <v>1273</v>
      </c>
      <c r="J23">
        <v>255.28</v>
      </c>
      <c r="K23">
        <v>159.41999999999999</v>
      </c>
      <c r="L23">
        <v>324971.44</v>
      </c>
      <c r="M23">
        <v>202941.66</v>
      </c>
      <c r="N23">
        <v>122029.78</v>
      </c>
      <c r="O23">
        <v>2015</v>
      </c>
    </row>
    <row r="24" spans="1:15" x14ac:dyDescent="0.25">
      <c r="A24" t="s">
        <v>21</v>
      </c>
      <c r="B24" t="s">
        <v>72</v>
      </c>
      <c r="C24" t="s">
        <v>102</v>
      </c>
      <c r="D24" t="s">
        <v>24</v>
      </c>
      <c r="E24" t="s">
        <v>31</v>
      </c>
      <c r="F24" t="s">
        <v>103</v>
      </c>
      <c r="G24">
        <v>795490682</v>
      </c>
      <c r="H24" t="s">
        <v>104</v>
      </c>
      <c r="I24">
        <v>2225</v>
      </c>
      <c r="J24">
        <v>152.58000000000001</v>
      </c>
      <c r="K24">
        <v>97.44</v>
      </c>
      <c r="L24">
        <v>339490.5</v>
      </c>
      <c r="M24">
        <v>216804</v>
      </c>
      <c r="N24">
        <v>122686.5</v>
      </c>
      <c r="O24">
        <v>2016</v>
      </c>
    </row>
    <row r="25" spans="1:15" x14ac:dyDescent="0.25">
      <c r="A25" t="s">
        <v>14</v>
      </c>
      <c r="B25" t="s">
        <v>105</v>
      </c>
      <c r="C25" t="s">
        <v>36</v>
      </c>
      <c r="D25" t="s">
        <v>24</v>
      </c>
      <c r="E25" t="s">
        <v>18</v>
      </c>
      <c r="F25" t="s">
        <v>106</v>
      </c>
      <c r="G25">
        <v>142278373</v>
      </c>
      <c r="H25" t="s">
        <v>107</v>
      </c>
      <c r="I25">
        <v>2187</v>
      </c>
      <c r="J25">
        <v>9.33</v>
      </c>
      <c r="K25">
        <v>6.92</v>
      </c>
      <c r="L25">
        <v>20404.71</v>
      </c>
      <c r="M25">
        <v>15134.04</v>
      </c>
      <c r="N25">
        <v>5270.67</v>
      </c>
      <c r="O25">
        <f t="shared" si="0"/>
        <v>2014</v>
      </c>
    </row>
    <row r="26" spans="1:15" x14ac:dyDescent="0.25">
      <c r="A26" t="s">
        <v>28</v>
      </c>
      <c r="B26" t="s">
        <v>108</v>
      </c>
      <c r="C26" t="s">
        <v>55</v>
      </c>
      <c r="D26" t="s">
        <v>24</v>
      </c>
      <c r="E26" t="s">
        <v>31</v>
      </c>
      <c r="F26" t="s">
        <v>109</v>
      </c>
      <c r="G26">
        <v>740147912</v>
      </c>
      <c r="H26" t="s">
        <v>110</v>
      </c>
      <c r="I26">
        <v>5070</v>
      </c>
      <c r="J26">
        <v>81.73</v>
      </c>
      <c r="K26">
        <v>56.67</v>
      </c>
      <c r="L26">
        <v>414371.1</v>
      </c>
      <c r="M26">
        <v>287316.90000000002</v>
      </c>
      <c r="N26">
        <v>127054.2</v>
      </c>
      <c r="O26">
        <f t="shared" si="0"/>
        <v>2016</v>
      </c>
    </row>
    <row r="27" spans="1:15" x14ac:dyDescent="0.25">
      <c r="A27" t="s">
        <v>28</v>
      </c>
      <c r="B27" t="s">
        <v>111</v>
      </c>
      <c r="C27" t="s">
        <v>82</v>
      </c>
      <c r="D27" t="s">
        <v>24</v>
      </c>
      <c r="E27" t="s">
        <v>18</v>
      </c>
      <c r="F27" t="s">
        <v>112</v>
      </c>
      <c r="G27">
        <v>898523128</v>
      </c>
      <c r="H27" t="s">
        <v>113</v>
      </c>
      <c r="I27">
        <v>1815</v>
      </c>
      <c r="J27">
        <v>437.2</v>
      </c>
      <c r="K27">
        <v>263.33</v>
      </c>
      <c r="L27">
        <v>793518</v>
      </c>
      <c r="M27">
        <v>477943.95</v>
      </c>
      <c r="N27">
        <v>315574.05</v>
      </c>
      <c r="O27">
        <v>2017</v>
      </c>
    </row>
    <row r="28" spans="1:15" x14ac:dyDescent="0.25">
      <c r="A28" t="s">
        <v>14</v>
      </c>
      <c r="B28" t="s">
        <v>114</v>
      </c>
      <c r="C28" t="s">
        <v>36</v>
      </c>
      <c r="D28" t="s">
        <v>24</v>
      </c>
      <c r="E28" t="s">
        <v>47</v>
      </c>
      <c r="F28" t="s">
        <v>115</v>
      </c>
      <c r="G28">
        <v>347140347</v>
      </c>
      <c r="H28" t="s">
        <v>116</v>
      </c>
      <c r="I28">
        <v>5398</v>
      </c>
      <c r="J28">
        <v>9.33</v>
      </c>
      <c r="K28">
        <v>6.92</v>
      </c>
      <c r="L28">
        <v>50363.34</v>
      </c>
      <c r="M28">
        <v>37354.160000000003</v>
      </c>
      <c r="N28">
        <v>13009.18</v>
      </c>
      <c r="O28">
        <v>2014</v>
      </c>
    </row>
    <row r="29" spans="1:15" x14ac:dyDescent="0.25">
      <c r="A29" t="s">
        <v>34</v>
      </c>
      <c r="B29" t="s">
        <v>117</v>
      </c>
      <c r="C29" t="s">
        <v>36</v>
      </c>
      <c r="D29" t="s">
        <v>24</v>
      </c>
      <c r="E29" t="s">
        <v>31</v>
      </c>
      <c r="F29" t="s">
        <v>118</v>
      </c>
      <c r="G29">
        <v>686048400</v>
      </c>
      <c r="H29" t="s">
        <v>119</v>
      </c>
      <c r="I29">
        <v>5822</v>
      </c>
      <c r="J29">
        <v>9.33</v>
      </c>
      <c r="K29">
        <v>6.92</v>
      </c>
      <c r="L29">
        <v>54319.26</v>
      </c>
      <c r="M29">
        <v>40288.239999999998</v>
      </c>
      <c r="N29">
        <v>14031.02</v>
      </c>
      <c r="O29">
        <f t="shared" si="0"/>
        <v>2010</v>
      </c>
    </row>
    <row r="30" spans="1:15" x14ac:dyDescent="0.25">
      <c r="A30" t="s">
        <v>28</v>
      </c>
      <c r="B30" t="s">
        <v>96</v>
      </c>
      <c r="C30" t="s">
        <v>86</v>
      </c>
      <c r="D30" t="s">
        <v>17</v>
      </c>
      <c r="E30" t="s">
        <v>25</v>
      </c>
      <c r="F30" t="s">
        <v>120</v>
      </c>
      <c r="G30">
        <v>435608613</v>
      </c>
      <c r="H30" t="s">
        <v>121</v>
      </c>
      <c r="I30">
        <v>5124</v>
      </c>
      <c r="J30">
        <v>47.45</v>
      </c>
      <c r="K30">
        <v>31.79</v>
      </c>
      <c r="L30">
        <v>243133.8</v>
      </c>
      <c r="M30">
        <v>162891.96</v>
      </c>
      <c r="N30">
        <v>80241.84</v>
      </c>
      <c r="O30">
        <v>2014</v>
      </c>
    </row>
    <row r="31" spans="1:15" x14ac:dyDescent="0.25">
      <c r="A31" t="s">
        <v>34</v>
      </c>
      <c r="B31" t="s">
        <v>122</v>
      </c>
      <c r="C31" t="s">
        <v>46</v>
      </c>
      <c r="D31" t="s">
        <v>17</v>
      </c>
      <c r="E31" t="s">
        <v>31</v>
      </c>
      <c r="F31" t="s">
        <v>123</v>
      </c>
      <c r="G31">
        <v>886494815</v>
      </c>
      <c r="H31" t="s">
        <v>124</v>
      </c>
      <c r="I31">
        <v>2370</v>
      </c>
      <c r="J31">
        <v>668.27</v>
      </c>
      <c r="K31">
        <v>502.54</v>
      </c>
      <c r="L31">
        <v>1583799.9</v>
      </c>
      <c r="M31">
        <v>1191019.8</v>
      </c>
      <c r="N31">
        <v>392780.1</v>
      </c>
      <c r="O31">
        <v>2012</v>
      </c>
    </row>
    <row r="32" spans="1:15" x14ac:dyDescent="0.25">
      <c r="A32" t="s">
        <v>28</v>
      </c>
      <c r="B32" t="s">
        <v>125</v>
      </c>
      <c r="C32" t="s">
        <v>82</v>
      </c>
      <c r="D32" t="s">
        <v>17</v>
      </c>
      <c r="E32" t="s">
        <v>47</v>
      </c>
      <c r="F32" t="s">
        <v>126</v>
      </c>
      <c r="G32">
        <v>249693334</v>
      </c>
      <c r="H32" t="s">
        <v>127</v>
      </c>
      <c r="I32">
        <v>8661</v>
      </c>
      <c r="J32">
        <v>437.2</v>
      </c>
      <c r="K32">
        <v>263.33</v>
      </c>
      <c r="L32">
        <v>3786589.2</v>
      </c>
      <c r="M32">
        <v>2280701.13</v>
      </c>
      <c r="N32">
        <v>1505888.07</v>
      </c>
      <c r="O32">
        <v>2012</v>
      </c>
    </row>
    <row r="33" spans="1:15" x14ac:dyDescent="0.25">
      <c r="A33" t="s">
        <v>34</v>
      </c>
      <c r="B33" t="s">
        <v>128</v>
      </c>
      <c r="C33" t="s">
        <v>55</v>
      </c>
      <c r="D33" t="s">
        <v>17</v>
      </c>
      <c r="E33" t="s">
        <v>25</v>
      </c>
      <c r="F33" t="s">
        <v>129</v>
      </c>
      <c r="G33">
        <v>406502997</v>
      </c>
      <c r="H33" t="s">
        <v>130</v>
      </c>
      <c r="I33">
        <v>2125</v>
      </c>
      <c r="J33">
        <v>81.73</v>
      </c>
      <c r="K33">
        <v>56.67</v>
      </c>
      <c r="L33">
        <v>173676.25</v>
      </c>
      <c r="M33">
        <v>120423.75</v>
      </c>
      <c r="N33">
        <v>53252.5</v>
      </c>
      <c r="O33">
        <v>2014</v>
      </c>
    </row>
    <row r="34" spans="1:15" x14ac:dyDescent="0.25">
      <c r="A34" t="s">
        <v>14</v>
      </c>
      <c r="B34" t="s">
        <v>131</v>
      </c>
      <c r="C34" t="s">
        <v>30</v>
      </c>
      <c r="D34" t="s">
        <v>24</v>
      </c>
      <c r="E34" t="s">
        <v>25</v>
      </c>
      <c r="F34" t="s">
        <v>132</v>
      </c>
      <c r="G34">
        <v>158535134</v>
      </c>
      <c r="H34" t="s">
        <v>133</v>
      </c>
      <c r="I34">
        <v>2924</v>
      </c>
      <c r="J34">
        <v>651.21</v>
      </c>
      <c r="K34">
        <v>524.96</v>
      </c>
      <c r="L34">
        <v>1904138.04</v>
      </c>
      <c r="M34">
        <v>1534983.04</v>
      </c>
      <c r="N34">
        <v>369155</v>
      </c>
      <c r="O34">
        <v>2015</v>
      </c>
    </row>
    <row r="35" spans="1:15" x14ac:dyDescent="0.25">
      <c r="A35" t="s">
        <v>61</v>
      </c>
      <c r="B35" t="s">
        <v>134</v>
      </c>
      <c r="C35" t="s">
        <v>46</v>
      </c>
      <c r="D35" t="s">
        <v>17</v>
      </c>
      <c r="E35" t="s">
        <v>18</v>
      </c>
      <c r="F35" t="s">
        <v>135</v>
      </c>
      <c r="G35">
        <v>177713572</v>
      </c>
      <c r="H35" t="s">
        <v>136</v>
      </c>
      <c r="I35">
        <v>8250</v>
      </c>
      <c r="J35">
        <v>668.27</v>
      </c>
      <c r="K35">
        <v>502.54</v>
      </c>
      <c r="L35">
        <v>5513227.5</v>
      </c>
      <c r="M35">
        <v>4145955</v>
      </c>
      <c r="N35">
        <v>1367272.5</v>
      </c>
      <c r="O35">
        <v>2015</v>
      </c>
    </row>
    <row r="36" spans="1:15" x14ac:dyDescent="0.25">
      <c r="A36" t="s">
        <v>34</v>
      </c>
      <c r="B36" t="s">
        <v>137</v>
      </c>
      <c r="C36" t="s">
        <v>102</v>
      </c>
      <c r="D36" t="s">
        <v>24</v>
      </c>
      <c r="E36" t="s">
        <v>47</v>
      </c>
      <c r="F36" t="s">
        <v>138</v>
      </c>
      <c r="G36">
        <v>756274640</v>
      </c>
      <c r="H36" t="s">
        <v>138</v>
      </c>
      <c r="I36">
        <v>7327</v>
      </c>
      <c r="J36">
        <v>152.58000000000001</v>
      </c>
      <c r="K36">
        <v>97.44</v>
      </c>
      <c r="L36">
        <v>1117953.6599999999</v>
      </c>
      <c r="M36">
        <v>713942.88</v>
      </c>
      <c r="N36">
        <v>404010.78</v>
      </c>
      <c r="O36">
        <v>2017</v>
      </c>
    </row>
    <row r="37" spans="1:15" x14ac:dyDescent="0.25">
      <c r="A37" t="s">
        <v>21</v>
      </c>
      <c r="B37" t="s">
        <v>139</v>
      </c>
      <c r="C37" t="s">
        <v>55</v>
      </c>
      <c r="D37" t="s">
        <v>17</v>
      </c>
      <c r="E37" t="s">
        <v>31</v>
      </c>
      <c r="F37" t="s">
        <v>140</v>
      </c>
      <c r="G37">
        <v>456767165</v>
      </c>
      <c r="H37" t="s">
        <v>141</v>
      </c>
      <c r="I37">
        <v>6409</v>
      </c>
      <c r="J37">
        <v>81.73</v>
      </c>
      <c r="K37">
        <v>56.67</v>
      </c>
      <c r="L37">
        <v>523807.57</v>
      </c>
      <c r="M37">
        <v>363198.03</v>
      </c>
      <c r="N37">
        <v>160609.54</v>
      </c>
      <c r="O37">
        <f t="shared" ref="O34:O65" si="1">YEAR(F37)</f>
        <v>2017</v>
      </c>
    </row>
    <row r="38" spans="1:15" x14ac:dyDescent="0.25">
      <c r="A38" t="s">
        <v>142</v>
      </c>
      <c r="B38" t="s">
        <v>143</v>
      </c>
      <c r="C38" t="s">
        <v>36</v>
      </c>
      <c r="D38" t="s">
        <v>24</v>
      </c>
      <c r="E38" t="s">
        <v>31</v>
      </c>
      <c r="F38" t="s">
        <v>144</v>
      </c>
      <c r="G38">
        <v>162052476</v>
      </c>
      <c r="H38" t="s">
        <v>145</v>
      </c>
      <c r="I38">
        <v>3784</v>
      </c>
      <c r="J38">
        <v>9.33</v>
      </c>
      <c r="K38">
        <v>6.92</v>
      </c>
      <c r="L38">
        <v>35304.720000000001</v>
      </c>
      <c r="M38">
        <v>26185.279999999999</v>
      </c>
      <c r="N38">
        <v>9119.44</v>
      </c>
      <c r="O38">
        <v>2011</v>
      </c>
    </row>
    <row r="39" spans="1:15" x14ac:dyDescent="0.25">
      <c r="A39" t="s">
        <v>34</v>
      </c>
      <c r="B39" t="s">
        <v>122</v>
      </c>
      <c r="C39" t="s">
        <v>93</v>
      </c>
      <c r="D39" t="s">
        <v>24</v>
      </c>
      <c r="E39" t="s">
        <v>47</v>
      </c>
      <c r="F39" t="s">
        <v>146</v>
      </c>
      <c r="G39">
        <v>825304400</v>
      </c>
      <c r="H39" t="s">
        <v>147</v>
      </c>
      <c r="I39">
        <v>4767</v>
      </c>
      <c r="J39">
        <v>421.89</v>
      </c>
      <c r="K39">
        <v>364.69</v>
      </c>
      <c r="L39">
        <v>2011149.63</v>
      </c>
      <c r="M39">
        <v>1738477.23</v>
      </c>
      <c r="N39">
        <v>272672.40000000002</v>
      </c>
      <c r="O39">
        <v>2017</v>
      </c>
    </row>
    <row r="40" spans="1:15" x14ac:dyDescent="0.25">
      <c r="A40" t="s">
        <v>61</v>
      </c>
      <c r="B40" t="s">
        <v>148</v>
      </c>
      <c r="C40" t="s">
        <v>30</v>
      </c>
      <c r="D40" t="s">
        <v>24</v>
      </c>
      <c r="E40" t="s">
        <v>31</v>
      </c>
      <c r="F40" t="s">
        <v>149</v>
      </c>
      <c r="G40">
        <v>320009267</v>
      </c>
      <c r="H40" t="s">
        <v>150</v>
      </c>
      <c r="I40">
        <v>6708</v>
      </c>
      <c r="J40">
        <v>651.21</v>
      </c>
      <c r="K40">
        <v>524.96</v>
      </c>
      <c r="L40">
        <v>4368316.68</v>
      </c>
      <c r="M40">
        <v>3521431.68</v>
      </c>
      <c r="N40">
        <v>846885</v>
      </c>
      <c r="O40">
        <f t="shared" si="1"/>
        <v>2012</v>
      </c>
    </row>
    <row r="41" spans="1:15" x14ac:dyDescent="0.25">
      <c r="A41" t="s">
        <v>28</v>
      </c>
      <c r="B41" t="s">
        <v>78</v>
      </c>
      <c r="C41" t="s">
        <v>30</v>
      </c>
      <c r="D41" t="s">
        <v>24</v>
      </c>
      <c r="E41" t="s">
        <v>47</v>
      </c>
      <c r="F41" t="s">
        <v>151</v>
      </c>
      <c r="G41">
        <v>189965903</v>
      </c>
      <c r="H41" t="s">
        <v>152</v>
      </c>
      <c r="I41">
        <v>3987</v>
      </c>
      <c r="J41">
        <v>651.21</v>
      </c>
      <c r="K41">
        <v>524.96</v>
      </c>
      <c r="L41">
        <v>2596374.27</v>
      </c>
      <c r="M41">
        <v>2093015.52</v>
      </c>
      <c r="N41">
        <v>503358.75</v>
      </c>
      <c r="O41">
        <v>2012</v>
      </c>
    </row>
    <row r="42" spans="1:15" x14ac:dyDescent="0.25">
      <c r="A42" t="s">
        <v>34</v>
      </c>
      <c r="B42" t="s">
        <v>153</v>
      </c>
      <c r="C42" t="s">
        <v>55</v>
      </c>
      <c r="D42" t="s">
        <v>24</v>
      </c>
      <c r="E42" t="s">
        <v>18</v>
      </c>
      <c r="F42" t="s">
        <v>154</v>
      </c>
      <c r="G42">
        <v>699285638</v>
      </c>
      <c r="H42" t="s">
        <v>155</v>
      </c>
      <c r="I42">
        <v>3015</v>
      </c>
      <c r="J42">
        <v>81.73</v>
      </c>
      <c r="K42">
        <v>56.67</v>
      </c>
      <c r="L42">
        <v>246415.95</v>
      </c>
      <c r="M42">
        <v>170860.05</v>
      </c>
      <c r="N42">
        <v>75555.899999999994</v>
      </c>
      <c r="O42">
        <f t="shared" si="1"/>
        <v>2017</v>
      </c>
    </row>
    <row r="43" spans="1:15" x14ac:dyDescent="0.25">
      <c r="A43" t="s">
        <v>142</v>
      </c>
      <c r="B43" t="s">
        <v>156</v>
      </c>
      <c r="C43" t="s">
        <v>82</v>
      </c>
      <c r="D43" t="s">
        <v>24</v>
      </c>
      <c r="E43" t="s">
        <v>47</v>
      </c>
      <c r="F43" t="s">
        <v>157</v>
      </c>
      <c r="G43">
        <v>382392299</v>
      </c>
      <c r="H43" t="s">
        <v>158</v>
      </c>
      <c r="I43">
        <v>7234</v>
      </c>
      <c r="J43">
        <v>437.2</v>
      </c>
      <c r="K43">
        <v>263.33</v>
      </c>
      <c r="L43">
        <v>3162704.8</v>
      </c>
      <c r="M43">
        <v>1904929.22</v>
      </c>
      <c r="N43">
        <v>1257775.58</v>
      </c>
      <c r="O43">
        <f t="shared" si="1"/>
        <v>2010</v>
      </c>
    </row>
    <row r="44" spans="1:15" x14ac:dyDescent="0.25">
      <c r="A44" t="s">
        <v>34</v>
      </c>
      <c r="B44" t="s">
        <v>122</v>
      </c>
      <c r="C44" t="s">
        <v>23</v>
      </c>
      <c r="D44" t="s">
        <v>17</v>
      </c>
      <c r="E44" t="s">
        <v>18</v>
      </c>
      <c r="F44" t="s">
        <v>159</v>
      </c>
      <c r="G44">
        <v>994022214</v>
      </c>
      <c r="H44" t="s">
        <v>160</v>
      </c>
      <c r="I44">
        <v>2117</v>
      </c>
      <c r="J44">
        <v>205.7</v>
      </c>
      <c r="K44">
        <v>117.11</v>
      </c>
      <c r="L44">
        <v>435466.9</v>
      </c>
      <c r="M44">
        <v>247921.87</v>
      </c>
      <c r="N44">
        <v>187545.03</v>
      </c>
      <c r="O44">
        <f t="shared" si="1"/>
        <v>2012</v>
      </c>
    </row>
    <row r="45" spans="1:15" x14ac:dyDescent="0.25">
      <c r="A45" t="s">
        <v>28</v>
      </c>
      <c r="B45" t="s">
        <v>161</v>
      </c>
      <c r="C45" t="s">
        <v>51</v>
      </c>
      <c r="D45" t="s">
        <v>24</v>
      </c>
      <c r="E45" t="s">
        <v>18</v>
      </c>
      <c r="F45" t="s">
        <v>162</v>
      </c>
      <c r="G45">
        <v>759224212</v>
      </c>
      <c r="H45" t="s">
        <v>163</v>
      </c>
      <c r="I45">
        <v>171</v>
      </c>
      <c r="J45">
        <v>154.06</v>
      </c>
      <c r="K45">
        <v>90.93</v>
      </c>
      <c r="L45">
        <v>26344.26</v>
      </c>
      <c r="M45">
        <v>15549.03</v>
      </c>
      <c r="N45">
        <v>10795.23</v>
      </c>
      <c r="O45">
        <f t="shared" si="1"/>
        <v>2012</v>
      </c>
    </row>
    <row r="46" spans="1:15" x14ac:dyDescent="0.25">
      <c r="A46" t="s">
        <v>61</v>
      </c>
      <c r="B46" t="s">
        <v>134</v>
      </c>
      <c r="C46" t="s">
        <v>66</v>
      </c>
      <c r="D46" t="s">
        <v>24</v>
      </c>
      <c r="E46" t="s">
        <v>18</v>
      </c>
      <c r="F46" t="s">
        <v>164</v>
      </c>
      <c r="G46">
        <v>223359620</v>
      </c>
      <c r="H46" t="s">
        <v>165</v>
      </c>
      <c r="I46">
        <v>5930</v>
      </c>
      <c r="J46">
        <v>109.28</v>
      </c>
      <c r="K46">
        <v>35.840000000000003</v>
      </c>
      <c r="L46">
        <v>648030.4</v>
      </c>
      <c r="M46">
        <v>212531.20000000001</v>
      </c>
      <c r="N46">
        <v>435499.2</v>
      </c>
      <c r="O46">
        <v>2015</v>
      </c>
    </row>
    <row r="47" spans="1:15" x14ac:dyDescent="0.25">
      <c r="A47" t="s">
        <v>34</v>
      </c>
      <c r="B47" t="s">
        <v>166</v>
      </c>
      <c r="C47" t="s">
        <v>23</v>
      </c>
      <c r="D47" t="s">
        <v>17</v>
      </c>
      <c r="E47" t="s">
        <v>18</v>
      </c>
      <c r="F47" t="s">
        <v>167</v>
      </c>
      <c r="G47">
        <v>902102267</v>
      </c>
      <c r="H47" t="s">
        <v>168</v>
      </c>
      <c r="I47">
        <v>962</v>
      </c>
      <c r="J47">
        <v>205.7</v>
      </c>
      <c r="K47">
        <v>117.11</v>
      </c>
      <c r="L47">
        <v>197883.4</v>
      </c>
      <c r="M47">
        <v>112659.82</v>
      </c>
      <c r="N47">
        <v>85223.58</v>
      </c>
      <c r="O47">
        <v>2016</v>
      </c>
    </row>
    <row r="48" spans="1:15" x14ac:dyDescent="0.25">
      <c r="A48" t="s">
        <v>28</v>
      </c>
      <c r="B48" t="s">
        <v>169</v>
      </c>
      <c r="C48" t="s">
        <v>82</v>
      </c>
      <c r="D48" t="s">
        <v>24</v>
      </c>
      <c r="E48" t="s">
        <v>25</v>
      </c>
      <c r="F48" t="s">
        <v>170</v>
      </c>
      <c r="G48">
        <v>331438481</v>
      </c>
      <c r="H48" t="s">
        <v>170</v>
      </c>
      <c r="I48">
        <v>8867</v>
      </c>
      <c r="J48">
        <v>437.2</v>
      </c>
      <c r="K48">
        <v>263.33</v>
      </c>
      <c r="L48">
        <v>3876652.4</v>
      </c>
      <c r="M48">
        <v>2334947.11</v>
      </c>
      <c r="N48">
        <v>1541705.29</v>
      </c>
      <c r="O48">
        <v>2016</v>
      </c>
    </row>
    <row r="49" spans="1:15" x14ac:dyDescent="0.25">
      <c r="A49" t="s">
        <v>28</v>
      </c>
      <c r="B49" t="s">
        <v>125</v>
      </c>
      <c r="C49" t="s">
        <v>55</v>
      </c>
      <c r="D49" t="s">
        <v>24</v>
      </c>
      <c r="E49" t="s">
        <v>47</v>
      </c>
      <c r="F49" t="s">
        <v>171</v>
      </c>
      <c r="G49">
        <v>617667090</v>
      </c>
      <c r="H49" t="s">
        <v>172</v>
      </c>
      <c r="I49">
        <v>273</v>
      </c>
      <c r="J49">
        <v>81.73</v>
      </c>
      <c r="K49">
        <v>56.67</v>
      </c>
      <c r="L49">
        <v>22312.29</v>
      </c>
      <c r="M49">
        <v>15470.91</v>
      </c>
      <c r="N49">
        <v>6841.38</v>
      </c>
      <c r="O49">
        <v>2011</v>
      </c>
    </row>
    <row r="50" spans="1:15" x14ac:dyDescent="0.25">
      <c r="A50" t="s">
        <v>28</v>
      </c>
      <c r="B50" t="s">
        <v>173</v>
      </c>
      <c r="C50" t="s">
        <v>66</v>
      </c>
      <c r="D50" t="s">
        <v>17</v>
      </c>
      <c r="E50" t="s">
        <v>25</v>
      </c>
      <c r="F50" t="s">
        <v>174</v>
      </c>
      <c r="G50">
        <v>787399423</v>
      </c>
      <c r="H50" t="s">
        <v>175</v>
      </c>
      <c r="I50">
        <v>7842</v>
      </c>
      <c r="J50">
        <v>109.28</v>
      </c>
      <c r="K50">
        <v>35.840000000000003</v>
      </c>
      <c r="L50">
        <v>856973.76</v>
      </c>
      <c r="M50">
        <v>281057.28000000003</v>
      </c>
      <c r="N50">
        <v>575916.48</v>
      </c>
      <c r="O50">
        <v>2014</v>
      </c>
    </row>
    <row r="51" spans="1:15" x14ac:dyDescent="0.25">
      <c r="A51" t="s">
        <v>34</v>
      </c>
      <c r="B51" t="s">
        <v>176</v>
      </c>
      <c r="C51" t="s">
        <v>30</v>
      </c>
      <c r="D51" t="s">
        <v>17</v>
      </c>
      <c r="E51" t="s">
        <v>25</v>
      </c>
      <c r="F51" t="s">
        <v>177</v>
      </c>
      <c r="G51">
        <v>837559306</v>
      </c>
      <c r="H51" t="s">
        <v>178</v>
      </c>
      <c r="I51">
        <v>1266</v>
      </c>
      <c r="J51">
        <v>651.21</v>
      </c>
      <c r="K51">
        <v>524.96</v>
      </c>
      <c r="L51">
        <v>824431.86</v>
      </c>
      <c r="M51">
        <v>664599.36</v>
      </c>
      <c r="N51">
        <v>159832.5</v>
      </c>
      <c r="O51">
        <f t="shared" si="1"/>
        <v>2012</v>
      </c>
    </row>
    <row r="52" spans="1:15" x14ac:dyDescent="0.25">
      <c r="A52" t="s">
        <v>28</v>
      </c>
      <c r="B52" t="s">
        <v>179</v>
      </c>
      <c r="C52" t="s">
        <v>66</v>
      </c>
      <c r="D52" t="s">
        <v>24</v>
      </c>
      <c r="E52" t="s">
        <v>25</v>
      </c>
      <c r="F52" t="s">
        <v>180</v>
      </c>
      <c r="G52">
        <v>385383069</v>
      </c>
      <c r="H52" t="s">
        <v>181</v>
      </c>
      <c r="I52">
        <v>2269</v>
      </c>
      <c r="J52">
        <v>109.28</v>
      </c>
      <c r="K52">
        <v>35.840000000000003</v>
      </c>
      <c r="L52">
        <v>247956.32</v>
      </c>
      <c r="M52">
        <v>81320.960000000006</v>
      </c>
      <c r="N52">
        <v>166635.35999999999</v>
      </c>
      <c r="O52">
        <f t="shared" si="1"/>
        <v>2010</v>
      </c>
    </row>
    <row r="53" spans="1:15" x14ac:dyDescent="0.25">
      <c r="A53" t="s">
        <v>34</v>
      </c>
      <c r="B53" t="s">
        <v>182</v>
      </c>
      <c r="C53" t="s">
        <v>36</v>
      </c>
      <c r="D53" t="s">
        <v>24</v>
      </c>
      <c r="E53" t="s">
        <v>31</v>
      </c>
      <c r="F53" t="s">
        <v>183</v>
      </c>
      <c r="G53">
        <v>918419539</v>
      </c>
      <c r="H53" t="s">
        <v>184</v>
      </c>
      <c r="I53">
        <v>9606</v>
      </c>
      <c r="J53">
        <v>9.33</v>
      </c>
      <c r="K53">
        <v>6.92</v>
      </c>
      <c r="L53">
        <v>89623.98</v>
      </c>
      <c r="M53">
        <v>66473.52</v>
      </c>
      <c r="N53">
        <v>23150.46</v>
      </c>
      <c r="O53">
        <v>2013</v>
      </c>
    </row>
    <row r="54" spans="1:15" x14ac:dyDescent="0.25">
      <c r="A54" t="s">
        <v>142</v>
      </c>
      <c r="B54" t="s">
        <v>185</v>
      </c>
      <c r="C54" t="s">
        <v>23</v>
      </c>
      <c r="D54" t="s">
        <v>24</v>
      </c>
      <c r="E54" t="s">
        <v>47</v>
      </c>
      <c r="F54" t="s">
        <v>186</v>
      </c>
      <c r="G54">
        <v>844530045</v>
      </c>
      <c r="H54" t="s">
        <v>187</v>
      </c>
      <c r="I54">
        <v>4063</v>
      </c>
      <c r="J54">
        <v>205.7</v>
      </c>
      <c r="K54">
        <v>117.11</v>
      </c>
      <c r="L54">
        <v>835759.1</v>
      </c>
      <c r="M54">
        <v>475817.93</v>
      </c>
      <c r="N54">
        <v>359941.17</v>
      </c>
      <c r="O54">
        <v>2013</v>
      </c>
    </row>
    <row r="55" spans="1:15" x14ac:dyDescent="0.25">
      <c r="A55" t="s">
        <v>34</v>
      </c>
      <c r="B55" t="s">
        <v>188</v>
      </c>
      <c r="C55" t="s">
        <v>30</v>
      </c>
      <c r="D55" t="s">
        <v>17</v>
      </c>
      <c r="E55" t="s">
        <v>47</v>
      </c>
      <c r="F55" t="s">
        <v>189</v>
      </c>
      <c r="G55">
        <v>441888415</v>
      </c>
      <c r="H55" t="s">
        <v>190</v>
      </c>
      <c r="I55">
        <v>3457</v>
      </c>
      <c r="J55">
        <v>651.21</v>
      </c>
      <c r="K55">
        <v>524.96</v>
      </c>
      <c r="L55">
        <v>2251232.9700000002</v>
      </c>
      <c r="M55">
        <v>1814786.72</v>
      </c>
      <c r="N55">
        <v>436446.25</v>
      </c>
      <c r="O55">
        <v>2012</v>
      </c>
    </row>
    <row r="56" spans="1:15" x14ac:dyDescent="0.25">
      <c r="A56" t="s">
        <v>34</v>
      </c>
      <c r="B56" t="s">
        <v>35</v>
      </c>
      <c r="C56" t="s">
        <v>36</v>
      </c>
      <c r="D56" t="s">
        <v>17</v>
      </c>
      <c r="E56" t="s">
        <v>18</v>
      </c>
      <c r="F56" t="s">
        <v>191</v>
      </c>
      <c r="G56">
        <v>508980977</v>
      </c>
      <c r="H56" t="s">
        <v>192</v>
      </c>
      <c r="I56">
        <v>7637</v>
      </c>
      <c r="J56">
        <v>9.33</v>
      </c>
      <c r="K56">
        <v>6.92</v>
      </c>
      <c r="L56">
        <v>71253.210000000006</v>
      </c>
      <c r="M56">
        <v>52848.04</v>
      </c>
      <c r="N56">
        <v>18405.169999999998</v>
      </c>
      <c r="O56">
        <v>2013</v>
      </c>
    </row>
    <row r="57" spans="1:15" x14ac:dyDescent="0.25">
      <c r="A57" t="s">
        <v>34</v>
      </c>
      <c r="B57" t="s">
        <v>193</v>
      </c>
      <c r="C57" t="s">
        <v>66</v>
      </c>
      <c r="D57" t="s">
        <v>24</v>
      </c>
      <c r="E57" t="s">
        <v>25</v>
      </c>
      <c r="F57" t="s">
        <v>160</v>
      </c>
      <c r="G57">
        <v>114606559</v>
      </c>
      <c r="H57" t="s">
        <v>194</v>
      </c>
      <c r="I57">
        <v>3482</v>
      </c>
      <c r="J57">
        <v>109.28</v>
      </c>
      <c r="K57">
        <v>35.840000000000003</v>
      </c>
      <c r="L57">
        <v>380512.96</v>
      </c>
      <c r="M57">
        <v>124794.88</v>
      </c>
      <c r="N57">
        <v>255718.08</v>
      </c>
      <c r="O57">
        <f t="shared" si="1"/>
        <v>2012</v>
      </c>
    </row>
    <row r="58" spans="1:15" x14ac:dyDescent="0.25">
      <c r="A58" t="s">
        <v>14</v>
      </c>
      <c r="B58" t="s">
        <v>195</v>
      </c>
      <c r="C58" t="s">
        <v>66</v>
      </c>
      <c r="D58" t="s">
        <v>17</v>
      </c>
      <c r="E58" t="s">
        <v>25</v>
      </c>
      <c r="F58" t="s">
        <v>196</v>
      </c>
      <c r="G58">
        <v>647876489</v>
      </c>
      <c r="H58" t="s">
        <v>197</v>
      </c>
      <c r="I58">
        <v>9905</v>
      </c>
      <c r="J58">
        <v>109.28</v>
      </c>
      <c r="K58">
        <v>35.840000000000003</v>
      </c>
      <c r="L58">
        <v>1082418.3999999999</v>
      </c>
      <c r="M58">
        <v>354995.20000000001</v>
      </c>
      <c r="N58">
        <v>727423.2</v>
      </c>
      <c r="O58">
        <v>2010</v>
      </c>
    </row>
    <row r="59" spans="1:15" x14ac:dyDescent="0.25">
      <c r="A59" t="s">
        <v>28</v>
      </c>
      <c r="B59" t="s">
        <v>198</v>
      </c>
      <c r="C59" t="s">
        <v>82</v>
      </c>
      <c r="D59" t="s">
        <v>17</v>
      </c>
      <c r="E59" t="s">
        <v>18</v>
      </c>
      <c r="F59" t="s">
        <v>199</v>
      </c>
      <c r="G59">
        <v>868214595</v>
      </c>
      <c r="H59" t="s">
        <v>200</v>
      </c>
      <c r="I59">
        <v>2847</v>
      </c>
      <c r="J59">
        <v>437.2</v>
      </c>
      <c r="K59">
        <v>263.33</v>
      </c>
      <c r="L59">
        <v>1244708.3999999999</v>
      </c>
      <c r="M59">
        <v>749700.51</v>
      </c>
      <c r="N59">
        <v>495007.89</v>
      </c>
      <c r="O59">
        <v>2015</v>
      </c>
    </row>
    <row r="60" spans="1:15" x14ac:dyDescent="0.25">
      <c r="A60" t="s">
        <v>28</v>
      </c>
      <c r="B60" t="s">
        <v>201</v>
      </c>
      <c r="C60" t="s">
        <v>46</v>
      </c>
      <c r="D60" t="s">
        <v>24</v>
      </c>
      <c r="E60" t="s">
        <v>31</v>
      </c>
      <c r="F60" t="s">
        <v>202</v>
      </c>
      <c r="G60">
        <v>955357205</v>
      </c>
      <c r="H60" t="s">
        <v>203</v>
      </c>
      <c r="I60">
        <v>282</v>
      </c>
      <c r="J60">
        <v>668.27</v>
      </c>
      <c r="K60">
        <v>502.54</v>
      </c>
      <c r="L60">
        <v>188452.14</v>
      </c>
      <c r="M60">
        <v>141716.28</v>
      </c>
      <c r="N60">
        <v>46735.86</v>
      </c>
      <c r="O60">
        <f t="shared" si="1"/>
        <v>2012</v>
      </c>
    </row>
    <row r="61" spans="1:15" x14ac:dyDescent="0.25">
      <c r="A61" t="s">
        <v>34</v>
      </c>
      <c r="B61" t="s">
        <v>137</v>
      </c>
      <c r="C61" t="s">
        <v>82</v>
      </c>
      <c r="D61" t="s">
        <v>17</v>
      </c>
      <c r="E61" t="s">
        <v>18</v>
      </c>
      <c r="F61" t="s">
        <v>204</v>
      </c>
      <c r="G61">
        <v>259353148</v>
      </c>
      <c r="H61" t="s">
        <v>205</v>
      </c>
      <c r="I61">
        <v>7215</v>
      </c>
      <c r="J61">
        <v>437.2</v>
      </c>
      <c r="K61">
        <v>263.33</v>
      </c>
      <c r="L61">
        <v>3154398</v>
      </c>
      <c r="M61">
        <v>1899925.95</v>
      </c>
      <c r="N61">
        <v>1254472.05</v>
      </c>
      <c r="O61">
        <f t="shared" si="1"/>
        <v>2014</v>
      </c>
    </row>
    <row r="62" spans="1:15" x14ac:dyDescent="0.25">
      <c r="A62" t="s">
        <v>14</v>
      </c>
      <c r="B62" t="s">
        <v>131</v>
      </c>
      <c r="C62" t="s">
        <v>23</v>
      </c>
      <c r="D62" t="s">
        <v>17</v>
      </c>
      <c r="E62" t="s">
        <v>18</v>
      </c>
      <c r="F62" t="s">
        <v>206</v>
      </c>
      <c r="G62">
        <v>450563752</v>
      </c>
      <c r="H62" t="s">
        <v>207</v>
      </c>
      <c r="I62">
        <v>682</v>
      </c>
      <c r="J62">
        <v>205.7</v>
      </c>
      <c r="K62">
        <v>117.11</v>
      </c>
      <c r="L62">
        <v>140287.4</v>
      </c>
      <c r="M62">
        <v>79869.02</v>
      </c>
      <c r="N62">
        <v>60418.38</v>
      </c>
      <c r="O62">
        <f t="shared" si="1"/>
        <v>2013</v>
      </c>
    </row>
    <row r="63" spans="1:15" x14ac:dyDescent="0.25">
      <c r="A63" t="s">
        <v>28</v>
      </c>
      <c r="B63" t="s">
        <v>208</v>
      </c>
      <c r="C63" t="s">
        <v>16</v>
      </c>
      <c r="D63" t="s">
        <v>24</v>
      </c>
      <c r="E63" t="s">
        <v>31</v>
      </c>
      <c r="F63" t="s">
        <v>209</v>
      </c>
      <c r="G63">
        <v>569662845</v>
      </c>
      <c r="H63" t="s">
        <v>210</v>
      </c>
      <c r="I63">
        <v>4750</v>
      </c>
      <c r="J63">
        <v>255.28</v>
      </c>
      <c r="K63">
        <v>159.41999999999999</v>
      </c>
      <c r="L63">
        <v>1212580</v>
      </c>
      <c r="M63">
        <v>757245</v>
      </c>
      <c r="N63">
        <v>455335</v>
      </c>
      <c r="O63">
        <v>2013</v>
      </c>
    </row>
    <row r="64" spans="1:15" x14ac:dyDescent="0.25">
      <c r="A64" t="s">
        <v>34</v>
      </c>
      <c r="B64" t="s">
        <v>85</v>
      </c>
      <c r="C64" t="s">
        <v>30</v>
      </c>
      <c r="D64" t="s">
        <v>24</v>
      </c>
      <c r="E64" t="s">
        <v>47</v>
      </c>
      <c r="F64" t="s">
        <v>211</v>
      </c>
      <c r="G64">
        <v>177636754</v>
      </c>
      <c r="H64" t="s">
        <v>212</v>
      </c>
      <c r="I64">
        <v>5518</v>
      </c>
      <c r="J64">
        <v>651.21</v>
      </c>
      <c r="K64">
        <v>524.96</v>
      </c>
      <c r="L64">
        <v>3593376.78</v>
      </c>
      <c r="M64">
        <v>2896729.28</v>
      </c>
      <c r="N64">
        <v>696647.5</v>
      </c>
      <c r="O64">
        <f t="shared" si="1"/>
        <v>2011</v>
      </c>
    </row>
    <row r="65" spans="1:15" x14ac:dyDescent="0.25">
      <c r="A65" t="s">
        <v>142</v>
      </c>
      <c r="B65" t="s">
        <v>213</v>
      </c>
      <c r="C65" t="s">
        <v>66</v>
      </c>
      <c r="D65" t="s">
        <v>17</v>
      </c>
      <c r="E65" t="s">
        <v>18</v>
      </c>
      <c r="F65" t="s">
        <v>214</v>
      </c>
      <c r="G65">
        <v>705784308</v>
      </c>
      <c r="H65" t="s">
        <v>215</v>
      </c>
      <c r="I65">
        <v>6116</v>
      </c>
      <c r="J65">
        <v>109.28</v>
      </c>
      <c r="K65">
        <v>35.840000000000003</v>
      </c>
      <c r="L65">
        <v>668356.48</v>
      </c>
      <c r="M65">
        <v>219197.44</v>
      </c>
      <c r="N65">
        <v>449159.04</v>
      </c>
      <c r="O65">
        <v>2010</v>
      </c>
    </row>
    <row r="66" spans="1:15" x14ac:dyDescent="0.25">
      <c r="A66" t="s">
        <v>21</v>
      </c>
      <c r="B66" t="s">
        <v>216</v>
      </c>
      <c r="C66" t="s">
        <v>82</v>
      </c>
      <c r="D66" t="s">
        <v>17</v>
      </c>
      <c r="E66" t="s">
        <v>18</v>
      </c>
      <c r="F66" t="s">
        <v>217</v>
      </c>
      <c r="G66">
        <v>505716836</v>
      </c>
      <c r="H66" t="s">
        <v>218</v>
      </c>
      <c r="I66">
        <v>1705</v>
      </c>
      <c r="J66">
        <v>437.2</v>
      </c>
      <c r="K66">
        <v>263.33</v>
      </c>
      <c r="L66">
        <v>745426</v>
      </c>
      <c r="M66">
        <v>448977.65</v>
      </c>
      <c r="N66">
        <v>296448.34999999998</v>
      </c>
      <c r="O66">
        <v>2013</v>
      </c>
    </row>
    <row r="67" spans="1:15" x14ac:dyDescent="0.25">
      <c r="A67" t="s">
        <v>34</v>
      </c>
      <c r="B67" t="s">
        <v>39</v>
      </c>
      <c r="C67" t="s">
        <v>82</v>
      </c>
      <c r="D67" t="s">
        <v>17</v>
      </c>
      <c r="E67" t="s">
        <v>18</v>
      </c>
      <c r="F67" t="s">
        <v>219</v>
      </c>
      <c r="G67">
        <v>699358165</v>
      </c>
      <c r="H67" t="s">
        <v>220</v>
      </c>
      <c r="I67">
        <v>4477</v>
      </c>
      <c r="J67">
        <v>437.2</v>
      </c>
      <c r="K67">
        <v>263.33</v>
      </c>
      <c r="L67">
        <v>1957344.4</v>
      </c>
      <c r="M67">
        <v>1178928.4099999999</v>
      </c>
      <c r="N67">
        <v>778415.99</v>
      </c>
      <c r="O67">
        <f t="shared" ref="O66:O101" si="2">YEAR(F67)</f>
        <v>2013</v>
      </c>
    </row>
    <row r="68" spans="1:15" x14ac:dyDescent="0.25">
      <c r="A68" t="s">
        <v>34</v>
      </c>
      <c r="B68" t="s">
        <v>221</v>
      </c>
      <c r="C68" t="s">
        <v>55</v>
      </c>
      <c r="D68" t="s">
        <v>17</v>
      </c>
      <c r="E68" t="s">
        <v>31</v>
      </c>
      <c r="F68" t="s">
        <v>222</v>
      </c>
      <c r="G68">
        <v>228944623</v>
      </c>
      <c r="H68" t="s">
        <v>223</v>
      </c>
      <c r="I68">
        <v>8656</v>
      </c>
      <c r="J68">
        <v>81.73</v>
      </c>
      <c r="K68">
        <v>56.67</v>
      </c>
      <c r="L68">
        <v>707454.88</v>
      </c>
      <c r="M68">
        <v>490535.52</v>
      </c>
      <c r="N68">
        <v>216919.36</v>
      </c>
      <c r="O68">
        <f t="shared" si="2"/>
        <v>2012</v>
      </c>
    </row>
    <row r="69" spans="1:15" x14ac:dyDescent="0.25">
      <c r="A69" t="s">
        <v>21</v>
      </c>
      <c r="B69" t="s">
        <v>224</v>
      </c>
      <c r="C69" t="s">
        <v>66</v>
      </c>
      <c r="D69" t="s">
        <v>17</v>
      </c>
      <c r="E69" t="s">
        <v>47</v>
      </c>
      <c r="F69" t="s">
        <v>225</v>
      </c>
      <c r="G69">
        <v>807025039</v>
      </c>
      <c r="H69" t="s">
        <v>226</v>
      </c>
      <c r="I69">
        <v>5498</v>
      </c>
      <c r="J69">
        <v>109.28</v>
      </c>
      <c r="K69">
        <v>35.840000000000003</v>
      </c>
      <c r="L69">
        <v>600821.43999999994</v>
      </c>
      <c r="M69">
        <v>197048.32000000001</v>
      </c>
      <c r="N69">
        <v>403773.12</v>
      </c>
      <c r="O69">
        <v>2016</v>
      </c>
    </row>
    <row r="70" spans="1:15" x14ac:dyDescent="0.25">
      <c r="A70" t="s">
        <v>28</v>
      </c>
      <c r="B70" t="s">
        <v>227</v>
      </c>
      <c r="C70" t="s">
        <v>30</v>
      </c>
      <c r="D70" t="s">
        <v>17</v>
      </c>
      <c r="E70" t="s">
        <v>18</v>
      </c>
      <c r="F70" t="s">
        <v>228</v>
      </c>
      <c r="G70">
        <v>166460740</v>
      </c>
      <c r="H70" t="s">
        <v>215</v>
      </c>
      <c r="I70">
        <v>8287</v>
      </c>
      <c r="J70">
        <v>651.21</v>
      </c>
      <c r="K70">
        <v>524.96</v>
      </c>
      <c r="L70">
        <v>5396577.2699999996</v>
      </c>
      <c r="M70">
        <v>4350343.5199999996</v>
      </c>
      <c r="N70">
        <v>1046233.75</v>
      </c>
      <c r="O70">
        <v>2010</v>
      </c>
    </row>
    <row r="71" spans="1:15" x14ac:dyDescent="0.25">
      <c r="A71" t="s">
        <v>34</v>
      </c>
      <c r="B71" t="s">
        <v>229</v>
      </c>
      <c r="C71" t="s">
        <v>66</v>
      </c>
      <c r="D71" t="s">
        <v>17</v>
      </c>
      <c r="E71" t="s">
        <v>31</v>
      </c>
      <c r="F71" t="s">
        <v>230</v>
      </c>
      <c r="G71">
        <v>610425555</v>
      </c>
      <c r="H71" t="s">
        <v>231</v>
      </c>
      <c r="I71">
        <v>7342</v>
      </c>
      <c r="J71">
        <v>109.28</v>
      </c>
      <c r="K71">
        <v>35.840000000000003</v>
      </c>
      <c r="L71">
        <v>802333.76</v>
      </c>
      <c r="M71">
        <v>263137.28000000003</v>
      </c>
      <c r="N71">
        <v>539196.48</v>
      </c>
      <c r="O71">
        <v>2015</v>
      </c>
    </row>
    <row r="72" spans="1:15" x14ac:dyDescent="0.25">
      <c r="A72" t="s">
        <v>61</v>
      </c>
      <c r="B72" t="s">
        <v>89</v>
      </c>
      <c r="C72" t="s">
        <v>30</v>
      </c>
      <c r="D72" t="s">
        <v>24</v>
      </c>
      <c r="E72" t="s">
        <v>47</v>
      </c>
      <c r="F72" t="s">
        <v>232</v>
      </c>
      <c r="G72">
        <v>462405812</v>
      </c>
      <c r="H72" t="s">
        <v>233</v>
      </c>
      <c r="I72">
        <v>5010</v>
      </c>
      <c r="J72">
        <v>651.21</v>
      </c>
      <c r="K72">
        <v>524.96</v>
      </c>
      <c r="L72">
        <v>3262562.1</v>
      </c>
      <c r="M72">
        <v>2630049.6</v>
      </c>
      <c r="N72">
        <v>632512.5</v>
      </c>
      <c r="O72">
        <v>2015</v>
      </c>
    </row>
    <row r="73" spans="1:15" x14ac:dyDescent="0.25">
      <c r="A73" t="s">
        <v>142</v>
      </c>
      <c r="B73" t="s">
        <v>213</v>
      </c>
      <c r="C73" t="s">
        <v>36</v>
      </c>
      <c r="D73" t="s">
        <v>24</v>
      </c>
      <c r="E73" t="s">
        <v>31</v>
      </c>
      <c r="F73" t="s">
        <v>234</v>
      </c>
      <c r="G73">
        <v>816200339</v>
      </c>
      <c r="H73" t="s">
        <v>235</v>
      </c>
      <c r="I73">
        <v>673</v>
      </c>
      <c r="J73">
        <v>9.33</v>
      </c>
      <c r="K73">
        <v>6.92</v>
      </c>
      <c r="L73">
        <v>6279.09</v>
      </c>
      <c r="M73">
        <v>4657.16</v>
      </c>
      <c r="N73">
        <v>1621.93</v>
      </c>
      <c r="O73">
        <v>2015</v>
      </c>
    </row>
    <row r="74" spans="1:15" x14ac:dyDescent="0.25">
      <c r="A74" t="s">
        <v>34</v>
      </c>
      <c r="B74" t="s">
        <v>236</v>
      </c>
      <c r="C74" t="s">
        <v>86</v>
      </c>
      <c r="D74" t="s">
        <v>24</v>
      </c>
      <c r="E74" t="s">
        <v>25</v>
      </c>
      <c r="F74" t="s">
        <v>237</v>
      </c>
      <c r="G74">
        <v>585920464</v>
      </c>
      <c r="H74" t="s">
        <v>238</v>
      </c>
      <c r="I74">
        <v>5741</v>
      </c>
      <c r="J74">
        <v>47.45</v>
      </c>
      <c r="K74">
        <v>31.79</v>
      </c>
      <c r="L74">
        <v>272410.45</v>
      </c>
      <c r="M74">
        <v>182506.39</v>
      </c>
      <c r="N74">
        <v>89904.06</v>
      </c>
      <c r="O74">
        <v>2011</v>
      </c>
    </row>
    <row r="75" spans="1:15" x14ac:dyDescent="0.25">
      <c r="A75" t="s">
        <v>34</v>
      </c>
      <c r="B75" t="s">
        <v>137</v>
      </c>
      <c r="C75" t="s">
        <v>23</v>
      </c>
      <c r="D75" t="s">
        <v>24</v>
      </c>
      <c r="E75" t="s">
        <v>18</v>
      </c>
      <c r="F75" t="s">
        <v>239</v>
      </c>
      <c r="G75">
        <v>555990016</v>
      </c>
      <c r="H75" t="s">
        <v>240</v>
      </c>
      <c r="I75">
        <v>8656</v>
      </c>
      <c r="J75">
        <v>205.7</v>
      </c>
      <c r="K75">
        <v>117.11</v>
      </c>
      <c r="L75">
        <v>1780539.2</v>
      </c>
      <c r="M75">
        <v>1013704.16</v>
      </c>
      <c r="N75">
        <v>766835.04</v>
      </c>
      <c r="O75">
        <v>2017</v>
      </c>
    </row>
    <row r="76" spans="1:15" x14ac:dyDescent="0.25">
      <c r="A76" t="s">
        <v>142</v>
      </c>
      <c r="B76" t="s">
        <v>241</v>
      </c>
      <c r="C76" t="s">
        <v>82</v>
      </c>
      <c r="D76" t="s">
        <v>17</v>
      </c>
      <c r="E76" t="s">
        <v>31</v>
      </c>
      <c r="F76" t="s">
        <v>242</v>
      </c>
      <c r="G76">
        <v>231145322</v>
      </c>
      <c r="H76" t="s">
        <v>243</v>
      </c>
      <c r="I76">
        <v>9892</v>
      </c>
      <c r="J76">
        <v>437.2</v>
      </c>
      <c r="K76">
        <v>263.33</v>
      </c>
      <c r="L76">
        <v>4324782.4000000004</v>
      </c>
      <c r="M76">
        <v>2604860.36</v>
      </c>
      <c r="N76">
        <v>1719922.04</v>
      </c>
      <c r="O76">
        <f t="shared" si="2"/>
        <v>2013</v>
      </c>
    </row>
    <row r="77" spans="1:15" x14ac:dyDescent="0.25">
      <c r="A77" t="s">
        <v>244</v>
      </c>
      <c r="B77" t="s">
        <v>245</v>
      </c>
      <c r="C77" t="s">
        <v>46</v>
      </c>
      <c r="D77" t="s">
        <v>17</v>
      </c>
      <c r="E77" t="s">
        <v>25</v>
      </c>
      <c r="F77" t="s">
        <v>246</v>
      </c>
      <c r="G77">
        <v>986435210</v>
      </c>
      <c r="H77" t="s">
        <v>247</v>
      </c>
      <c r="I77">
        <v>6954</v>
      </c>
      <c r="J77">
        <v>668.27</v>
      </c>
      <c r="K77">
        <v>502.54</v>
      </c>
      <c r="L77">
        <v>4647149.58</v>
      </c>
      <c r="M77">
        <v>3494663.16</v>
      </c>
      <c r="N77">
        <v>1152486.42</v>
      </c>
      <c r="O77">
        <f t="shared" si="2"/>
        <v>2014</v>
      </c>
    </row>
    <row r="78" spans="1:15" x14ac:dyDescent="0.25">
      <c r="A78" t="s">
        <v>14</v>
      </c>
      <c r="B78" t="s">
        <v>248</v>
      </c>
      <c r="C78" t="s">
        <v>86</v>
      </c>
      <c r="D78" t="s">
        <v>24</v>
      </c>
      <c r="E78" t="s">
        <v>25</v>
      </c>
      <c r="F78" t="s">
        <v>249</v>
      </c>
      <c r="G78">
        <v>217221009</v>
      </c>
      <c r="H78" t="s">
        <v>250</v>
      </c>
      <c r="I78">
        <v>9379</v>
      </c>
      <c r="J78">
        <v>47.45</v>
      </c>
      <c r="K78">
        <v>31.79</v>
      </c>
      <c r="L78">
        <v>445033.55</v>
      </c>
      <c r="M78">
        <v>298158.40999999997</v>
      </c>
      <c r="N78">
        <v>146875.14000000001</v>
      </c>
      <c r="O78">
        <v>2014</v>
      </c>
    </row>
    <row r="79" spans="1:15" x14ac:dyDescent="0.25">
      <c r="A79" t="s">
        <v>61</v>
      </c>
      <c r="B79" t="s">
        <v>251</v>
      </c>
      <c r="C79" t="s">
        <v>51</v>
      </c>
      <c r="D79" t="s">
        <v>17</v>
      </c>
      <c r="E79" t="s">
        <v>25</v>
      </c>
      <c r="F79" t="s">
        <v>252</v>
      </c>
      <c r="G79">
        <v>789176547</v>
      </c>
      <c r="H79" t="s">
        <v>253</v>
      </c>
      <c r="I79">
        <v>3732</v>
      </c>
      <c r="J79">
        <v>154.06</v>
      </c>
      <c r="K79">
        <v>90.93</v>
      </c>
      <c r="L79">
        <v>574951.92000000004</v>
      </c>
      <c r="M79">
        <v>339350.76</v>
      </c>
      <c r="N79">
        <v>235601.16</v>
      </c>
      <c r="O79">
        <v>2011</v>
      </c>
    </row>
    <row r="80" spans="1:15" x14ac:dyDescent="0.25">
      <c r="A80" t="s">
        <v>28</v>
      </c>
      <c r="B80" t="s">
        <v>254</v>
      </c>
      <c r="C80" t="s">
        <v>16</v>
      </c>
      <c r="D80" t="s">
        <v>17</v>
      </c>
      <c r="E80" t="s">
        <v>18</v>
      </c>
      <c r="F80" t="s">
        <v>255</v>
      </c>
      <c r="G80">
        <v>688288152</v>
      </c>
      <c r="H80" t="s">
        <v>256</v>
      </c>
      <c r="I80">
        <v>8614</v>
      </c>
      <c r="J80">
        <v>255.28</v>
      </c>
      <c r="K80">
        <v>159.41999999999999</v>
      </c>
      <c r="L80">
        <v>2198981.92</v>
      </c>
      <c r="M80">
        <v>1373243.88</v>
      </c>
      <c r="N80">
        <v>825738.04</v>
      </c>
      <c r="O80">
        <v>2012</v>
      </c>
    </row>
    <row r="81" spans="1:15" x14ac:dyDescent="0.25">
      <c r="A81" t="s">
        <v>14</v>
      </c>
      <c r="B81" t="s">
        <v>257</v>
      </c>
      <c r="C81" t="s">
        <v>82</v>
      </c>
      <c r="D81" t="s">
        <v>24</v>
      </c>
      <c r="E81" t="s">
        <v>18</v>
      </c>
      <c r="F81" t="s">
        <v>258</v>
      </c>
      <c r="G81">
        <v>670854651</v>
      </c>
      <c r="H81" t="s">
        <v>259</v>
      </c>
      <c r="I81">
        <v>9654</v>
      </c>
      <c r="J81">
        <v>437.2</v>
      </c>
      <c r="K81">
        <v>263.33</v>
      </c>
      <c r="L81">
        <v>4220728.8</v>
      </c>
      <c r="M81">
        <v>2542187.8199999998</v>
      </c>
      <c r="N81">
        <v>1678540.98</v>
      </c>
      <c r="O81">
        <v>2013</v>
      </c>
    </row>
    <row r="82" spans="1:15" x14ac:dyDescent="0.25">
      <c r="A82" t="s">
        <v>28</v>
      </c>
      <c r="B82" t="s">
        <v>260</v>
      </c>
      <c r="C82" t="s">
        <v>46</v>
      </c>
      <c r="D82" t="s">
        <v>17</v>
      </c>
      <c r="E82" t="s">
        <v>31</v>
      </c>
      <c r="F82" t="s">
        <v>261</v>
      </c>
      <c r="G82">
        <v>213487374</v>
      </c>
      <c r="H82" t="s">
        <v>262</v>
      </c>
      <c r="I82">
        <v>4513</v>
      </c>
      <c r="J82">
        <v>668.27</v>
      </c>
      <c r="K82">
        <v>502.54</v>
      </c>
      <c r="L82">
        <v>3015902.51</v>
      </c>
      <c r="M82">
        <v>2267963.02</v>
      </c>
      <c r="N82">
        <v>747939.49</v>
      </c>
      <c r="O82">
        <v>2012</v>
      </c>
    </row>
    <row r="83" spans="1:15" x14ac:dyDescent="0.25">
      <c r="A83" t="s">
        <v>142</v>
      </c>
      <c r="B83" t="s">
        <v>263</v>
      </c>
      <c r="C83" t="s">
        <v>66</v>
      </c>
      <c r="D83" t="s">
        <v>24</v>
      </c>
      <c r="E83" t="s">
        <v>31</v>
      </c>
      <c r="F83" t="s">
        <v>264</v>
      </c>
      <c r="G83">
        <v>663110148</v>
      </c>
      <c r="H83" t="s">
        <v>265</v>
      </c>
      <c r="I83">
        <v>7884</v>
      </c>
      <c r="J83">
        <v>109.28</v>
      </c>
      <c r="K83">
        <v>35.840000000000003</v>
      </c>
      <c r="L83">
        <v>861563.52</v>
      </c>
      <c r="M83">
        <v>282562.56</v>
      </c>
      <c r="N83">
        <v>579000.96</v>
      </c>
      <c r="O83">
        <v>2012</v>
      </c>
    </row>
    <row r="84" spans="1:15" x14ac:dyDescent="0.25">
      <c r="A84" t="s">
        <v>142</v>
      </c>
      <c r="B84" t="s">
        <v>266</v>
      </c>
      <c r="C84" t="s">
        <v>82</v>
      </c>
      <c r="D84" t="s">
        <v>24</v>
      </c>
      <c r="E84" t="s">
        <v>18</v>
      </c>
      <c r="F84" t="s">
        <v>267</v>
      </c>
      <c r="G84">
        <v>286959302</v>
      </c>
      <c r="H84" t="s">
        <v>268</v>
      </c>
      <c r="I84">
        <v>6489</v>
      </c>
      <c r="J84">
        <v>437.2</v>
      </c>
      <c r="K84">
        <v>263.33</v>
      </c>
      <c r="L84">
        <v>2836990.8</v>
      </c>
      <c r="M84">
        <v>1708748.37</v>
      </c>
      <c r="N84">
        <v>1128242.43</v>
      </c>
      <c r="O84">
        <v>2016</v>
      </c>
    </row>
    <row r="85" spans="1:15" x14ac:dyDescent="0.25">
      <c r="A85" t="s">
        <v>34</v>
      </c>
      <c r="B85" t="s">
        <v>269</v>
      </c>
      <c r="C85" t="s">
        <v>102</v>
      </c>
      <c r="D85" t="s">
        <v>24</v>
      </c>
      <c r="E85" t="s">
        <v>31</v>
      </c>
      <c r="F85" t="s">
        <v>270</v>
      </c>
      <c r="G85">
        <v>122583663</v>
      </c>
      <c r="H85" t="s">
        <v>271</v>
      </c>
      <c r="I85">
        <v>4085</v>
      </c>
      <c r="J85">
        <v>152.58000000000001</v>
      </c>
      <c r="K85">
        <v>97.44</v>
      </c>
      <c r="L85">
        <v>623289.30000000005</v>
      </c>
      <c r="M85">
        <v>398042.4</v>
      </c>
      <c r="N85">
        <v>225246.9</v>
      </c>
      <c r="O85">
        <f t="shared" si="2"/>
        <v>2011</v>
      </c>
    </row>
    <row r="86" spans="1:15" x14ac:dyDescent="0.25">
      <c r="A86" t="s">
        <v>34</v>
      </c>
      <c r="B86" t="s">
        <v>272</v>
      </c>
      <c r="C86" t="s">
        <v>51</v>
      </c>
      <c r="D86" t="s">
        <v>24</v>
      </c>
      <c r="E86" t="s">
        <v>31</v>
      </c>
      <c r="F86" t="s">
        <v>273</v>
      </c>
      <c r="G86">
        <v>827844560</v>
      </c>
      <c r="H86" t="s">
        <v>274</v>
      </c>
      <c r="I86">
        <v>6457</v>
      </c>
      <c r="J86">
        <v>154.06</v>
      </c>
      <c r="K86">
        <v>90.93</v>
      </c>
      <c r="L86">
        <v>994765.42</v>
      </c>
      <c r="M86">
        <v>587135.01</v>
      </c>
      <c r="N86">
        <v>407630.41</v>
      </c>
      <c r="O86">
        <v>2012</v>
      </c>
    </row>
    <row r="87" spans="1:15" x14ac:dyDescent="0.25">
      <c r="A87" t="s">
        <v>244</v>
      </c>
      <c r="B87" t="s">
        <v>245</v>
      </c>
      <c r="C87" t="s">
        <v>55</v>
      </c>
      <c r="D87" t="s">
        <v>17</v>
      </c>
      <c r="E87" t="s">
        <v>31</v>
      </c>
      <c r="F87" t="s">
        <v>275</v>
      </c>
      <c r="G87">
        <v>430915820</v>
      </c>
      <c r="H87" t="s">
        <v>276</v>
      </c>
      <c r="I87">
        <v>6422</v>
      </c>
      <c r="J87">
        <v>81.73</v>
      </c>
      <c r="K87">
        <v>56.67</v>
      </c>
      <c r="L87">
        <v>524870.06000000006</v>
      </c>
      <c r="M87">
        <v>363934.74</v>
      </c>
      <c r="N87">
        <v>160935.32</v>
      </c>
      <c r="O87">
        <v>2012</v>
      </c>
    </row>
    <row r="88" spans="1:15" x14ac:dyDescent="0.25">
      <c r="A88" t="s">
        <v>34</v>
      </c>
      <c r="B88" t="s">
        <v>35</v>
      </c>
      <c r="C88" t="s">
        <v>86</v>
      </c>
      <c r="D88" t="s">
        <v>17</v>
      </c>
      <c r="E88" t="s">
        <v>25</v>
      </c>
      <c r="F88" t="s">
        <v>277</v>
      </c>
      <c r="G88">
        <v>180283772</v>
      </c>
      <c r="H88" t="s">
        <v>278</v>
      </c>
      <c r="I88">
        <v>8829</v>
      </c>
      <c r="J88">
        <v>47.45</v>
      </c>
      <c r="K88">
        <v>31.79</v>
      </c>
      <c r="L88">
        <v>418936.05</v>
      </c>
      <c r="M88">
        <v>280673.90999999997</v>
      </c>
      <c r="N88">
        <v>138262.14000000001</v>
      </c>
      <c r="O88">
        <v>2011</v>
      </c>
    </row>
    <row r="89" spans="1:15" x14ac:dyDescent="0.25">
      <c r="A89" t="s">
        <v>34</v>
      </c>
      <c r="B89" t="s">
        <v>122</v>
      </c>
      <c r="C89" t="s">
        <v>16</v>
      </c>
      <c r="D89" t="s">
        <v>17</v>
      </c>
      <c r="E89" t="s">
        <v>47</v>
      </c>
      <c r="F89" t="s">
        <v>279</v>
      </c>
      <c r="G89">
        <v>494747245</v>
      </c>
      <c r="H89" t="s">
        <v>280</v>
      </c>
      <c r="I89">
        <v>5559</v>
      </c>
      <c r="J89">
        <v>255.28</v>
      </c>
      <c r="K89">
        <v>159.41999999999999</v>
      </c>
      <c r="L89">
        <v>1419101.52</v>
      </c>
      <c r="M89">
        <v>886215.78</v>
      </c>
      <c r="N89">
        <v>532885.74</v>
      </c>
      <c r="O89">
        <f t="shared" si="2"/>
        <v>2014</v>
      </c>
    </row>
    <row r="90" spans="1:15" x14ac:dyDescent="0.25">
      <c r="A90" t="s">
        <v>142</v>
      </c>
      <c r="B90" t="s">
        <v>281</v>
      </c>
      <c r="C90" t="s">
        <v>36</v>
      </c>
      <c r="D90" t="s">
        <v>24</v>
      </c>
      <c r="E90" t="s">
        <v>47</v>
      </c>
      <c r="F90" t="s">
        <v>282</v>
      </c>
      <c r="G90">
        <v>513417565</v>
      </c>
      <c r="H90" t="s">
        <v>283</v>
      </c>
      <c r="I90">
        <v>522</v>
      </c>
      <c r="J90">
        <v>9.33</v>
      </c>
      <c r="K90">
        <v>6.92</v>
      </c>
      <c r="L90">
        <v>4870.26</v>
      </c>
      <c r="M90">
        <v>3612.24</v>
      </c>
      <c r="N90">
        <v>1258.02</v>
      </c>
      <c r="O90">
        <v>2012</v>
      </c>
    </row>
    <row r="91" spans="1:15" x14ac:dyDescent="0.25">
      <c r="A91" t="s">
        <v>28</v>
      </c>
      <c r="B91" t="s">
        <v>284</v>
      </c>
      <c r="C91" t="s">
        <v>86</v>
      </c>
      <c r="D91" t="s">
        <v>17</v>
      </c>
      <c r="E91" t="s">
        <v>25</v>
      </c>
      <c r="F91" t="s">
        <v>285</v>
      </c>
      <c r="G91">
        <v>345718562</v>
      </c>
      <c r="H91" t="s">
        <v>286</v>
      </c>
      <c r="I91">
        <v>4660</v>
      </c>
      <c r="J91">
        <v>47.45</v>
      </c>
      <c r="K91">
        <v>31.79</v>
      </c>
      <c r="L91">
        <v>221117</v>
      </c>
      <c r="M91">
        <v>148141.4</v>
      </c>
      <c r="N91">
        <v>72975.600000000006</v>
      </c>
      <c r="O91">
        <v>2016</v>
      </c>
    </row>
    <row r="92" spans="1:15" x14ac:dyDescent="0.25">
      <c r="A92" t="s">
        <v>34</v>
      </c>
      <c r="B92" t="s">
        <v>188</v>
      </c>
      <c r="C92" t="s">
        <v>30</v>
      </c>
      <c r="D92" t="s">
        <v>17</v>
      </c>
      <c r="E92" t="s">
        <v>18</v>
      </c>
      <c r="F92" t="s">
        <v>287</v>
      </c>
      <c r="G92">
        <v>621386563</v>
      </c>
      <c r="H92" t="s">
        <v>288</v>
      </c>
      <c r="I92">
        <v>948</v>
      </c>
      <c r="J92">
        <v>651.21</v>
      </c>
      <c r="K92">
        <v>524.96</v>
      </c>
      <c r="L92">
        <v>617347.07999999996</v>
      </c>
      <c r="M92">
        <v>497662.08</v>
      </c>
      <c r="N92">
        <v>119685</v>
      </c>
      <c r="O92">
        <f t="shared" si="2"/>
        <v>2016</v>
      </c>
    </row>
    <row r="93" spans="1:15" x14ac:dyDescent="0.25">
      <c r="A93" t="s">
        <v>14</v>
      </c>
      <c r="B93" t="s">
        <v>131</v>
      </c>
      <c r="C93" t="s">
        <v>86</v>
      </c>
      <c r="D93" t="s">
        <v>17</v>
      </c>
      <c r="E93" t="s">
        <v>18</v>
      </c>
      <c r="F93" t="s">
        <v>289</v>
      </c>
      <c r="G93">
        <v>240470397</v>
      </c>
      <c r="H93" t="s">
        <v>290</v>
      </c>
      <c r="I93">
        <v>9389</v>
      </c>
      <c r="J93">
        <v>47.45</v>
      </c>
      <c r="K93">
        <v>31.79</v>
      </c>
      <c r="L93">
        <v>445508.05</v>
      </c>
      <c r="M93">
        <v>298476.31</v>
      </c>
      <c r="N93">
        <v>147031.74</v>
      </c>
      <c r="O93">
        <f t="shared" si="2"/>
        <v>2014</v>
      </c>
    </row>
    <row r="94" spans="1:15" x14ac:dyDescent="0.25">
      <c r="A94" t="s">
        <v>142</v>
      </c>
      <c r="B94" t="s">
        <v>156</v>
      </c>
      <c r="C94" t="s">
        <v>30</v>
      </c>
      <c r="D94" t="s">
        <v>24</v>
      </c>
      <c r="E94" t="s">
        <v>47</v>
      </c>
      <c r="F94" t="s">
        <v>291</v>
      </c>
      <c r="G94">
        <v>423331391</v>
      </c>
      <c r="H94" t="s">
        <v>292</v>
      </c>
      <c r="I94">
        <v>2021</v>
      </c>
      <c r="J94">
        <v>651.21</v>
      </c>
      <c r="K94">
        <v>524.96</v>
      </c>
      <c r="L94">
        <v>1316095.4099999999</v>
      </c>
      <c r="M94">
        <v>1060944.1599999999</v>
      </c>
      <c r="N94">
        <v>255151.25</v>
      </c>
      <c r="O94">
        <v>2012</v>
      </c>
    </row>
    <row r="95" spans="1:15" x14ac:dyDescent="0.25">
      <c r="A95" t="s">
        <v>28</v>
      </c>
      <c r="B95" t="s">
        <v>293</v>
      </c>
      <c r="C95" t="s">
        <v>82</v>
      </c>
      <c r="D95" t="s">
        <v>24</v>
      </c>
      <c r="E95" t="s">
        <v>18</v>
      </c>
      <c r="F95" t="s">
        <v>294</v>
      </c>
      <c r="G95">
        <v>660643374</v>
      </c>
      <c r="H95" t="s">
        <v>295</v>
      </c>
      <c r="I95">
        <v>7910</v>
      </c>
      <c r="J95">
        <v>437.2</v>
      </c>
      <c r="K95">
        <v>263.33</v>
      </c>
      <c r="L95">
        <v>3458252</v>
      </c>
      <c r="M95">
        <v>2082940.3</v>
      </c>
      <c r="N95">
        <v>1375311.7</v>
      </c>
      <c r="O95">
        <v>2010</v>
      </c>
    </row>
    <row r="96" spans="1:15" x14ac:dyDescent="0.25">
      <c r="A96" t="s">
        <v>21</v>
      </c>
      <c r="B96" t="s">
        <v>296</v>
      </c>
      <c r="C96" t="s">
        <v>86</v>
      </c>
      <c r="D96" t="s">
        <v>17</v>
      </c>
      <c r="E96" t="s">
        <v>25</v>
      </c>
      <c r="F96" t="s">
        <v>297</v>
      </c>
      <c r="G96">
        <v>963392674</v>
      </c>
      <c r="H96" t="s">
        <v>298</v>
      </c>
      <c r="I96">
        <v>8156</v>
      </c>
      <c r="J96">
        <v>47.45</v>
      </c>
      <c r="K96">
        <v>31.79</v>
      </c>
      <c r="L96">
        <v>387002.2</v>
      </c>
      <c r="M96">
        <v>259279.24</v>
      </c>
      <c r="N96">
        <v>127722.96</v>
      </c>
      <c r="O96">
        <f t="shared" si="2"/>
        <v>2011</v>
      </c>
    </row>
    <row r="97" spans="1:15" x14ac:dyDescent="0.25">
      <c r="A97" t="s">
        <v>34</v>
      </c>
      <c r="B97" t="s">
        <v>117</v>
      </c>
      <c r="C97" t="s">
        <v>66</v>
      </c>
      <c r="D97" t="s">
        <v>24</v>
      </c>
      <c r="E97" t="s">
        <v>47</v>
      </c>
      <c r="F97" t="s">
        <v>299</v>
      </c>
      <c r="G97">
        <v>512878119</v>
      </c>
      <c r="H97" t="s">
        <v>300</v>
      </c>
      <c r="I97">
        <v>888</v>
      </c>
      <c r="J97">
        <v>109.28</v>
      </c>
      <c r="K97">
        <v>35.840000000000003</v>
      </c>
      <c r="L97">
        <v>97040.639999999999</v>
      </c>
      <c r="M97">
        <v>31825.919999999998</v>
      </c>
      <c r="N97">
        <v>65214.720000000001</v>
      </c>
      <c r="O97">
        <v>2011</v>
      </c>
    </row>
    <row r="98" spans="1:15" x14ac:dyDescent="0.25">
      <c r="A98" t="s">
        <v>61</v>
      </c>
      <c r="B98" t="s">
        <v>301</v>
      </c>
      <c r="C98" t="s">
        <v>36</v>
      </c>
      <c r="D98" t="s">
        <v>17</v>
      </c>
      <c r="E98" t="s">
        <v>31</v>
      </c>
      <c r="F98" t="s">
        <v>302</v>
      </c>
      <c r="G98">
        <v>810711038</v>
      </c>
      <c r="H98" t="s">
        <v>303</v>
      </c>
      <c r="I98">
        <v>6267</v>
      </c>
      <c r="J98">
        <v>9.33</v>
      </c>
      <c r="K98">
        <v>6.92</v>
      </c>
      <c r="L98">
        <v>58471.11</v>
      </c>
      <c r="M98">
        <v>43367.64</v>
      </c>
      <c r="N98">
        <v>15103.47</v>
      </c>
      <c r="O98">
        <f t="shared" si="2"/>
        <v>2011</v>
      </c>
    </row>
    <row r="99" spans="1:15" x14ac:dyDescent="0.25">
      <c r="A99" t="s">
        <v>34</v>
      </c>
      <c r="B99" t="s">
        <v>188</v>
      </c>
      <c r="C99" t="s">
        <v>51</v>
      </c>
      <c r="D99" t="s">
        <v>17</v>
      </c>
      <c r="E99" t="s">
        <v>25</v>
      </c>
      <c r="F99" t="s">
        <v>304</v>
      </c>
      <c r="G99">
        <v>728815257</v>
      </c>
      <c r="H99" t="s">
        <v>305</v>
      </c>
      <c r="I99">
        <v>1485</v>
      </c>
      <c r="J99">
        <v>154.06</v>
      </c>
      <c r="K99">
        <v>90.93</v>
      </c>
      <c r="L99">
        <v>228779.1</v>
      </c>
      <c r="M99">
        <v>135031.04999999999</v>
      </c>
      <c r="N99">
        <v>93748.05</v>
      </c>
      <c r="O99">
        <f t="shared" si="2"/>
        <v>2016</v>
      </c>
    </row>
    <row r="100" spans="1:15" x14ac:dyDescent="0.25">
      <c r="A100" t="s">
        <v>244</v>
      </c>
      <c r="B100" t="s">
        <v>245</v>
      </c>
      <c r="C100" t="s">
        <v>55</v>
      </c>
      <c r="D100" t="s">
        <v>17</v>
      </c>
      <c r="E100" t="s">
        <v>47</v>
      </c>
      <c r="F100" t="s">
        <v>306</v>
      </c>
      <c r="G100">
        <v>559427106</v>
      </c>
      <c r="H100" t="s">
        <v>307</v>
      </c>
      <c r="I100">
        <v>5767</v>
      </c>
      <c r="J100">
        <v>81.73</v>
      </c>
      <c r="K100">
        <v>56.67</v>
      </c>
      <c r="L100">
        <v>471336.91</v>
      </c>
      <c r="M100">
        <v>326815.89</v>
      </c>
      <c r="N100">
        <v>144521.01999999999</v>
      </c>
      <c r="O100">
        <v>2015</v>
      </c>
    </row>
    <row r="101" spans="1:15" x14ac:dyDescent="0.25">
      <c r="A101" t="s">
        <v>34</v>
      </c>
      <c r="B101" t="s">
        <v>308</v>
      </c>
      <c r="C101" t="s">
        <v>46</v>
      </c>
      <c r="D101" t="s">
        <v>17</v>
      </c>
      <c r="E101" t="s">
        <v>31</v>
      </c>
      <c r="F101" t="s">
        <v>309</v>
      </c>
      <c r="G101">
        <v>665095412</v>
      </c>
      <c r="H101" t="s">
        <v>310</v>
      </c>
      <c r="I101">
        <v>5367</v>
      </c>
      <c r="J101">
        <v>668.27</v>
      </c>
      <c r="K101">
        <v>502.54</v>
      </c>
      <c r="L101">
        <v>3586605.09</v>
      </c>
      <c r="M101">
        <v>2697132.18</v>
      </c>
      <c r="N101">
        <v>889472.91</v>
      </c>
      <c r="O101">
        <f t="shared" si="2"/>
        <v>2012</v>
      </c>
    </row>
    <row r="102" spans="1:15" x14ac:dyDescent="0.25">
      <c r="A102" s="3"/>
      <c r="B102" s="3"/>
      <c r="C102" s="3"/>
      <c r="D102" s="3"/>
      <c r="E102" s="3"/>
      <c r="F102" s="3"/>
      <c r="H102" s="3"/>
      <c r="I102">
        <f>SUM(AmazonSalesData[Units Sold])</f>
        <v>512871</v>
      </c>
      <c r="L102">
        <f>SUM(AmazonSalesData[Total Revenue])</f>
        <v>137348768.30999997</v>
      </c>
      <c r="M102">
        <f>SUM(AmazonSalesData[Total Cost])</f>
        <v>93180569.909999982</v>
      </c>
      <c r="N102">
        <f>SUM(AmazonSalesData[Total Profit])</f>
        <v>44168198.399999991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68D6-0268-4DCA-A7FC-C7207E5A2DD5}">
  <dimension ref="A1"/>
  <sheetViews>
    <sheetView showGridLines="0" tabSelected="1" workbookViewId="0">
      <selection activeCell="G1" sqref="G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91890E-5C47-49B3-AB84-091DCA46F8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Regionwise Revenue</vt:lpstr>
      <vt:lpstr>Item type profit</vt:lpstr>
      <vt:lpstr>Cost vs Profit</vt:lpstr>
      <vt:lpstr>AmazonSalesData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S0087301</dc:creator>
  <cp:lastModifiedBy>S0087301</cp:lastModifiedBy>
  <dcterms:created xsi:type="dcterms:W3CDTF">2026-06-21T13:31:18Z</dcterms:created>
  <dcterms:modified xsi:type="dcterms:W3CDTF">2026-06-24T05:04:58Z</dcterms:modified>
</cp:coreProperties>
</file>